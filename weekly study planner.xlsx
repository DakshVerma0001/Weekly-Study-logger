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erma\OneDrive\Desktop\"/>
    </mc:Choice>
  </mc:AlternateContent>
  <xr:revisionPtr revIDLastSave="0" documentId="13_ncr:1_{01041CD8-63FA-4726-B179-2B2138845084}" xr6:coauthVersionLast="47" xr6:coauthVersionMax="47" xr10:uidLastSave="{00000000-0000-0000-0000-000000000000}"/>
  <bookViews>
    <workbookView xWindow="-120" yWindow="-120" windowWidth="21840" windowHeight="13740" tabRatio="500" firstSheet="2" activeTab="2" xr2:uid="{00000000-000D-0000-FFFF-FFFF00000000}"/>
  </bookViews>
  <sheets>
    <sheet name="Dashboard" sheetId="1" r:id="rId1"/>
    <sheet name="Weekly Planner" sheetId="2" r:id="rId2"/>
    <sheet name="Daily Study Log" sheetId="3" r:id="rId3"/>
    <sheet name="Habit Tracker" sheetId="4" r:id="rId4"/>
    <sheet name="Progress Analytics" sheetId="5" r:id="rId5"/>
    <sheet name="Settings" sheetId="6" r:id="rId6"/>
  </sheets>
  <definedNames>
    <definedName name="DailyGoalHrs">Settings!$L$6</definedName>
    <definedName name="DayList">Settings!$H$5:$H$11</definedName>
    <definedName name="HabitGoalPct">Settings!$L$7</definedName>
    <definedName name="HabitList">Settings!$C$5:$C$19</definedName>
    <definedName name="PriorityList">Settings!$E$5:$E$7</definedName>
    <definedName name="StatusList">Settings!$F$5:$F$9</definedName>
    <definedName name="SubjectList">Settings!$A$5:$A$16</definedName>
    <definedName name="WeeklyGoalHrs">Settings!$L$4</definedName>
    <definedName name="WeeklyGoalTasks">Settings!$L$5</definedName>
    <definedName name="WeekStart">Settings!$L$9</definedName>
    <definedName name="YesNoList">Settings!$I$5:$I$7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" i="6" l="1"/>
  <c r="L6" i="6"/>
  <c r="B26" i="5"/>
  <c r="B24" i="5"/>
  <c r="B23" i="5"/>
  <c r="D17" i="5"/>
  <c r="C17" i="5"/>
  <c r="E17" i="5" s="1"/>
  <c r="B17" i="5"/>
  <c r="D16" i="5"/>
  <c r="C16" i="5"/>
  <c r="E16" i="5" s="1"/>
  <c r="B16" i="5"/>
  <c r="D15" i="5"/>
  <c r="C15" i="5"/>
  <c r="E15" i="5" s="1"/>
  <c r="B43" i="5" s="1"/>
  <c r="B15" i="5"/>
  <c r="D14" i="5"/>
  <c r="C14" i="5"/>
  <c r="E14" i="5" s="1"/>
  <c r="B41" i="5" s="1"/>
  <c r="B14" i="5"/>
  <c r="D13" i="5"/>
  <c r="C13" i="5"/>
  <c r="E13" i="5" s="1"/>
  <c r="B40" i="5" s="1"/>
  <c r="B13" i="5"/>
  <c r="D12" i="5"/>
  <c r="C12" i="5"/>
  <c r="E12" i="5" s="1"/>
  <c r="B12" i="5"/>
  <c r="D11" i="5"/>
  <c r="C11" i="5"/>
  <c r="E11" i="5" s="1"/>
  <c r="B11" i="5"/>
  <c r="D10" i="5"/>
  <c r="C10" i="5"/>
  <c r="E10" i="5" s="1"/>
  <c r="B10" i="5"/>
  <c r="D9" i="5"/>
  <c r="C9" i="5"/>
  <c r="E9" i="5" s="1"/>
  <c r="B42" i="5" s="1"/>
  <c r="B9" i="5"/>
  <c r="D8" i="5"/>
  <c r="C8" i="5"/>
  <c r="E8" i="5" s="1"/>
  <c r="B39" i="5" s="1"/>
  <c r="B8" i="5"/>
  <c r="D7" i="5"/>
  <c r="C7" i="5"/>
  <c r="E7" i="5" s="1"/>
  <c r="B38" i="5" s="1"/>
  <c r="B7" i="5"/>
  <c r="D6" i="5"/>
  <c r="C6" i="5"/>
  <c r="E6" i="5" s="1"/>
  <c r="B6" i="5"/>
  <c r="B24" i="4"/>
  <c r="H14" i="1" s="1"/>
  <c r="B23" i="4"/>
  <c r="F14" i="1" s="1"/>
  <c r="T19" i="4"/>
  <c r="S19" i="4"/>
  <c r="R19" i="4"/>
  <c r="Q19" i="4"/>
  <c r="P19" i="4"/>
  <c r="O19" i="4"/>
  <c r="N19" i="4"/>
  <c r="M19" i="4"/>
  <c r="L19" i="4"/>
  <c r="K19" i="4"/>
  <c r="J19" i="4"/>
  <c r="I19" i="4"/>
  <c r="T18" i="4"/>
  <c r="S18" i="4"/>
  <c r="R18" i="4"/>
  <c r="Q18" i="4"/>
  <c r="P18" i="4"/>
  <c r="O18" i="4"/>
  <c r="N18" i="4"/>
  <c r="M18" i="4"/>
  <c r="L18" i="4"/>
  <c r="K18" i="4"/>
  <c r="J18" i="4"/>
  <c r="I18" i="4"/>
  <c r="T17" i="4"/>
  <c r="J17" i="4" s="1"/>
  <c r="S17" i="4"/>
  <c r="R17" i="4"/>
  <c r="Q17" i="4"/>
  <c r="P17" i="4"/>
  <c r="O17" i="4"/>
  <c r="N17" i="4"/>
  <c r="K17" i="4" s="1"/>
  <c r="M17" i="4"/>
  <c r="L17" i="4"/>
  <c r="I17" i="4"/>
  <c r="T16" i="4"/>
  <c r="S16" i="4"/>
  <c r="R16" i="4"/>
  <c r="Q16" i="4"/>
  <c r="P16" i="4"/>
  <c r="O16" i="4"/>
  <c r="N16" i="4"/>
  <c r="M16" i="4"/>
  <c r="L16" i="4"/>
  <c r="K16" i="4"/>
  <c r="J16" i="4"/>
  <c r="I16" i="4"/>
  <c r="T15" i="4"/>
  <c r="J15" i="4" s="1"/>
  <c r="S15" i="4"/>
  <c r="R15" i="4"/>
  <c r="Q15" i="4"/>
  <c r="K15" i="4" s="1"/>
  <c r="P15" i="4"/>
  <c r="O15" i="4"/>
  <c r="N15" i="4"/>
  <c r="M15" i="4"/>
  <c r="L15" i="4"/>
  <c r="I15" i="4"/>
  <c r="T14" i="4"/>
  <c r="S14" i="4"/>
  <c r="R14" i="4"/>
  <c r="Q14" i="4"/>
  <c r="P14" i="4"/>
  <c r="O14" i="4"/>
  <c r="N14" i="4"/>
  <c r="M14" i="4"/>
  <c r="L14" i="4"/>
  <c r="K14" i="4"/>
  <c r="J14" i="4"/>
  <c r="I14" i="4"/>
  <c r="T13" i="4"/>
  <c r="S13" i="4"/>
  <c r="R13" i="4"/>
  <c r="Q13" i="4"/>
  <c r="P13" i="4"/>
  <c r="O13" i="4"/>
  <c r="N13" i="4"/>
  <c r="M13" i="4"/>
  <c r="L13" i="4"/>
  <c r="K13" i="4"/>
  <c r="J13" i="4"/>
  <c r="I13" i="4"/>
  <c r="T12" i="4"/>
  <c r="J12" i="4" s="1"/>
  <c r="S12" i="4"/>
  <c r="R12" i="4"/>
  <c r="Q12" i="4"/>
  <c r="P12" i="4"/>
  <c r="O12" i="4"/>
  <c r="N12" i="4"/>
  <c r="K12" i="4" s="1"/>
  <c r="M12" i="4"/>
  <c r="L12" i="4"/>
  <c r="I12" i="4"/>
  <c r="T11" i="4"/>
  <c r="S11" i="4"/>
  <c r="R11" i="4"/>
  <c r="Q11" i="4"/>
  <c r="P11" i="4"/>
  <c r="O11" i="4"/>
  <c r="N11" i="4"/>
  <c r="M11" i="4"/>
  <c r="L11" i="4"/>
  <c r="K11" i="4"/>
  <c r="J11" i="4"/>
  <c r="I11" i="4"/>
  <c r="T10" i="4"/>
  <c r="J10" i="4" s="1"/>
  <c r="S10" i="4"/>
  <c r="R10" i="4"/>
  <c r="Q10" i="4"/>
  <c r="P10" i="4"/>
  <c r="O10" i="4"/>
  <c r="K10" i="4" s="1"/>
  <c r="N10" i="4"/>
  <c r="M10" i="4"/>
  <c r="L10" i="4"/>
  <c r="I10" i="4"/>
  <c r="T9" i="4"/>
  <c r="S9" i="4"/>
  <c r="R9" i="4"/>
  <c r="Q9" i="4"/>
  <c r="P9" i="4"/>
  <c r="O9" i="4"/>
  <c r="N9" i="4"/>
  <c r="M9" i="4"/>
  <c r="L9" i="4"/>
  <c r="K9" i="4"/>
  <c r="J9" i="4"/>
  <c r="I9" i="4"/>
  <c r="T8" i="4"/>
  <c r="J8" i="4" s="1"/>
  <c r="S8" i="4"/>
  <c r="K8" i="4" s="1"/>
  <c r="R8" i="4"/>
  <c r="Q8" i="4"/>
  <c r="P8" i="4"/>
  <c r="O8" i="4"/>
  <c r="N8" i="4"/>
  <c r="M8" i="4"/>
  <c r="L8" i="4"/>
  <c r="I8" i="4"/>
  <c r="T7" i="4"/>
  <c r="S7" i="4"/>
  <c r="R7" i="4"/>
  <c r="Q7" i="4"/>
  <c r="P7" i="4"/>
  <c r="O7" i="4"/>
  <c r="N7" i="4"/>
  <c r="M7" i="4"/>
  <c r="L7" i="4"/>
  <c r="K7" i="4"/>
  <c r="J7" i="4"/>
  <c r="I7" i="4"/>
  <c r="T6" i="4"/>
  <c r="S6" i="4"/>
  <c r="R6" i="4"/>
  <c r="Q6" i="4"/>
  <c r="P6" i="4"/>
  <c r="O6" i="4"/>
  <c r="N6" i="4"/>
  <c r="M6" i="4"/>
  <c r="L6" i="4"/>
  <c r="K6" i="4"/>
  <c r="J6" i="4"/>
  <c r="I6" i="4"/>
  <c r="T5" i="4"/>
  <c r="J5" i="4" s="1"/>
  <c r="H10" i="1" s="1"/>
  <c r="S5" i="4"/>
  <c r="R5" i="4"/>
  <c r="Q5" i="4"/>
  <c r="P5" i="4"/>
  <c r="O5" i="4"/>
  <c r="N5" i="4"/>
  <c r="K5" i="4" s="1"/>
  <c r="M5" i="4"/>
  <c r="B27" i="4" s="1"/>
  <c r="L5" i="4"/>
  <c r="I5" i="4"/>
  <c r="B25" i="4" s="1"/>
  <c r="B48" i="3"/>
  <c r="B47" i="3"/>
  <c r="B43" i="3"/>
  <c r="D20" i="1" s="1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B44" i="3" s="1"/>
  <c r="B41" i="2"/>
  <c r="B40" i="2"/>
  <c r="B37" i="2"/>
  <c r="B39" i="2" s="1"/>
  <c r="B36" i="2"/>
  <c r="B38" i="2" s="1"/>
  <c r="D14" i="1" s="1"/>
  <c r="M54" i="1"/>
  <c r="M53" i="1"/>
  <c r="M52" i="1"/>
  <c r="M51" i="1"/>
  <c r="M50" i="1"/>
  <c r="M49" i="1"/>
  <c r="M48" i="1"/>
  <c r="M29" i="1"/>
  <c r="B14" i="1"/>
  <c r="B10" i="1"/>
  <c r="F6" i="1"/>
  <c r="D6" i="1"/>
  <c r="B6" i="1"/>
  <c r="B3" i="1"/>
  <c r="B25" i="5" l="1"/>
  <c r="B49" i="3"/>
  <c r="B46" i="3"/>
  <c r="B45" i="3"/>
  <c r="A32" i="5"/>
  <c r="E32" i="5" s="1"/>
  <c r="B27" i="5"/>
  <c r="B21" i="5"/>
  <c r="B22" i="5"/>
  <c r="B37" i="5"/>
  <c r="D22" i="1"/>
  <c r="J6" i="1"/>
  <c r="D24" i="1"/>
  <c r="B26" i="4"/>
  <c r="J10" i="1"/>
  <c r="F10" i="1"/>
  <c r="D10" i="1"/>
  <c r="N29" i="1"/>
  <c r="H6" i="1"/>
  <c r="D18" i="1"/>
  <c r="M68" i="1"/>
  <c r="M69" i="1"/>
</calcChain>
</file>

<file path=xl/sharedStrings.xml><?xml version="1.0" encoding="utf-8"?>
<sst xmlns="http://schemas.openxmlformats.org/spreadsheetml/2006/main" count="446" uniqueCount="170">
  <si>
    <t>STUDY PERFORMANCE DASHBOARD</t>
  </si>
  <si>
    <t>Week Number</t>
  </si>
  <si>
    <t>Week Start</t>
  </si>
  <si>
    <t>Week End</t>
  </si>
  <si>
    <t>Overall Completion %</t>
  </si>
  <si>
    <t>Consistency Score</t>
  </si>
  <si>
    <t>Target Study Hours</t>
  </si>
  <si>
    <t>Actual Study Hours</t>
  </si>
  <si>
    <t>Hours Difference</t>
  </si>
  <si>
    <t>Current Streak (days)</t>
  </si>
  <si>
    <t>Longest Streak (days)</t>
  </si>
  <si>
    <t>Tasks Completed</t>
  </si>
  <si>
    <t>Tasks Remaining</t>
  </si>
  <si>
    <t>Habits Completed</t>
  </si>
  <si>
    <t>Habits Missed</t>
  </si>
  <si>
    <t>PROGRESS BARS</t>
  </si>
  <si>
    <t>Overall Week</t>
  </si>
  <si>
    <t>Daily Goal</t>
  </si>
  <si>
    <t>Subject Goal (avg)</t>
  </si>
  <si>
    <t>Habit Goal</t>
  </si>
  <si>
    <t>CHARTS</t>
  </si>
  <si>
    <t>Target</t>
  </si>
  <si>
    <t>Actual</t>
  </si>
  <si>
    <t>This Week</t>
  </si>
  <si>
    <t>Day</t>
  </si>
  <si>
    <t>Hours</t>
  </si>
  <si>
    <t>Mon</t>
  </si>
  <si>
    <t>Tue</t>
  </si>
  <si>
    <t>Wed</t>
  </si>
  <si>
    <t>Thu</t>
  </si>
  <si>
    <t>Fri</t>
  </si>
  <si>
    <t>Sat</t>
  </si>
  <si>
    <t>Sun</t>
  </si>
  <si>
    <t>Segment</t>
  </si>
  <si>
    <t>Value</t>
  </si>
  <si>
    <t>Completed</t>
  </si>
  <si>
    <t>Remaining</t>
  </si>
  <si>
    <t>WEEKLY PLANNER</t>
  </si>
  <si>
    <t>Assign tasks per day. Check 'Completed' to mark done — the row turns green automatically.</t>
  </si>
  <si>
    <t>Subject</t>
  </si>
  <si>
    <t>Task</t>
  </si>
  <si>
    <t>Priority</t>
  </si>
  <si>
    <t>Est. Hours</t>
  </si>
  <si>
    <t>Actual Hours</t>
  </si>
  <si>
    <t>Status</t>
  </si>
  <si>
    <t>Deadline</t>
  </si>
  <si>
    <t>Topic</t>
  </si>
  <si>
    <t>Difficulty</t>
  </si>
  <si>
    <t>Revision Required</t>
  </si>
  <si>
    <t>Notes</t>
  </si>
  <si>
    <t>Monday</t>
  </si>
  <si>
    <t>DSA</t>
  </si>
  <si>
    <t>Solve 5 Binary Tree problems</t>
  </si>
  <si>
    <t>High</t>
  </si>
  <si>
    <t>In Progress</t>
  </si>
  <si>
    <t>No</t>
  </si>
  <si>
    <t>Binary Trees</t>
  </si>
  <si>
    <t>Medium</t>
  </si>
  <si>
    <t>Yes</t>
  </si>
  <si>
    <t>Focus on traversal patterns</t>
  </si>
  <si>
    <t>Not Started</t>
  </si>
  <si>
    <t>Tuesday</t>
  </si>
  <si>
    <t>Wednesday</t>
  </si>
  <si>
    <t>Thursday</t>
  </si>
  <si>
    <t>Friday</t>
  </si>
  <si>
    <t>Saturday</t>
  </si>
  <si>
    <t>Sunday</t>
  </si>
  <si>
    <t>WEEKLY PLANNER SUMMARY</t>
  </si>
  <si>
    <t>Total Tasks</t>
  </si>
  <si>
    <t>Completion %</t>
  </si>
  <si>
    <t>Est. Hours Total</t>
  </si>
  <si>
    <t>Actual Hours Total</t>
  </si>
  <si>
    <t>DAILY STUDY LOG</t>
  </si>
  <si>
    <t>Log every study session. Duration and rollups calculate automatically.</t>
  </si>
  <si>
    <t>Date</t>
  </si>
  <si>
    <t>Start Time</t>
  </si>
  <si>
    <t>End Time</t>
  </si>
  <si>
    <t>Duration (hrs)</t>
  </si>
  <si>
    <t>Study Type</t>
  </si>
  <si>
    <t>Deep Work?</t>
  </si>
  <si>
    <t>Pomodoro Count</t>
  </si>
  <si>
    <t>Productivity (1-10)</t>
  </si>
  <si>
    <t>Energy Level (1-10)</t>
  </si>
  <si>
    <t>Focus Level (1-10)</t>
  </si>
  <si>
    <t>Distractions</t>
  </si>
  <si>
    <t>STUDY LOG SUMMARY</t>
  </si>
  <si>
    <t>Today's Hours (latest logged date)</t>
  </si>
  <si>
    <t>This Week's Hours</t>
  </si>
  <si>
    <t>Average Session (hrs)</t>
  </si>
  <si>
    <t>Longest Session (hrs)</t>
  </si>
  <si>
    <t>Average Productivity</t>
  </si>
  <si>
    <t>Average Focus</t>
  </si>
  <si>
    <t>Total Sessions Logged</t>
  </si>
  <si>
    <t>HABIT TRACKER</t>
  </si>
  <si>
    <t>Mark Yes / Partial / No for each habit each day. Streaks and success rate update automatically.</t>
  </si>
  <si>
    <t>Habit</t>
  </si>
  <si>
    <t>Weekly %</t>
  </si>
  <si>
    <t>Current Streak</t>
  </si>
  <si>
    <t>Longest Streak</t>
  </si>
  <si>
    <t>Missed Days</t>
  </si>
  <si>
    <t>Success Rate</t>
  </si>
  <si>
    <t>Wake up on time</t>
  </si>
  <si>
    <t>Gym</t>
  </si>
  <si>
    <t>Meditation</t>
  </si>
  <si>
    <t>Reading</t>
  </si>
  <si>
    <t>DSA Practice</t>
  </si>
  <si>
    <t>System Design</t>
  </si>
  <si>
    <t>Gen AI</t>
  </si>
  <si>
    <t>Revision</t>
  </si>
  <si>
    <t>LeetCode</t>
  </si>
  <si>
    <t>Drink Water</t>
  </si>
  <si>
    <t>Sleep before 12</t>
  </si>
  <si>
    <t>Journal</t>
  </si>
  <si>
    <t>Exercise</t>
  </si>
  <si>
    <t>Coding</t>
  </si>
  <si>
    <t>No Social Media</t>
  </si>
  <si>
    <t>HABIT TRACKER SUMMARY</t>
  </si>
  <si>
    <t>Habits Completed Today (Sun)</t>
  </si>
  <si>
    <t>Habits Missed Today (Sun)</t>
  </si>
  <si>
    <t>Overall Weekly %</t>
  </si>
  <si>
    <t>Best Habit Streak</t>
  </si>
  <si>
    <t>Habits Below Goal</t>
  </si>
  <si>
    <t>PROGRESS ANALYTICS</t>
  </si>
  <si>
    <t>Deeper metrics computed from the Study Log and Planner. Add rows to those sheets and this updates.</t>
  </si>
  <si>
    <t>SUBJECT-WISE PERFORMANCE</t>
  </si>
  <si>
    <t>Hours Logged</t>
  </si>
  <si>
    <t>Avg Productivity</t>
  </si>
  <si>
    <t>Computer Science Fundamentals</t>
  </si>
  <si>
    <t>Operating Systems</t>
  </si>
  <si>
    <t>DBMS</t>
  </si>
  <si>
    <t>Computer Networks</t>
  </si>
  <si>
    <t>Projects</t>
  </si>
  <si>
    <t>Placement Preparation</t>
  </si>
  <si>
    <t>Mock Interviews</t>
  </si>
  <si>
    <t>College Work</t>
  </si>
  <si>
    <t>KEY INSIGHTS</t>
  </si>
  <si>
    <t>Most Studied Subject</t>
  </si>
  <si>
    <t>Least Studied Subject</t>
  </si>
  <si>
    <t>Highest Productivity Day</t>
  </si>
  <si>
    <t>Lowest Productivity Day</t>
  </si>
  <si>
    <t>Study Consistency %</t>
  </si>
  <si>
    <t>Revision %</t>
  </si>
  <si>
    <t>Weekly Improvement %</t>
  </si>
  <si>
    <t>ROLLING 4-WEEK AVERAGE (fill weekly totals as weeks pass)</t>
  </si>
  <si>
    <t>Week 1</t>
  </si>
  <si>
    <t>Week 2</t>
  </si>
  <si>
    <t>Week 3</t>
  </si>
  <si>
    <t>Week 4</t>
  </si>
  <si>
    <t>4-Week Avg</t>
  </si>
  <si>
    <t>Note: Week 2-4 are manual-entry cells (blue) until logged — plug last week's totals in as your weekks pass.</t>
  </si>
  <si>
    <t>RADAR COMPARISON (completion %)</t>
  </si>
  <si>
    <t>SETTINGS</t>
  </si>
  <si>
    <t>Edit the lists below — every dropdown and formula in this workbook references these cells.</t>
  </si>
  <si>
    <t>GOALS</t>
  </si>
  <si>
    <t>Study Subjects</t>
  </si>
  <si>
    <t>Habits</t>
  </si>
  <si>
    <t>Priority List</t>
  </si>
  <si>
    <t>Status List</t>
  </si>
  <si>
    <t>Days</t>
  </si>
  <si>
    <t>Checkbox Options</t>
  </si>
  <si>
    <t>Weekly Study Goal (hrs)</t>
  </si>
  <si>
    <t>Weekly Task Goal (#)</t>
  </si>
  <si>
    <t>Daily Study Goal (hrs)</t>
  </si>
  <si>
    <t>Low</t>
  </si>
  <si>
    <t>Partial</t>
  </si>
  <si>
    <t>Habit Goal (% success)</t>
  </si>
  <si>
    <t>Postponed</t>
  </si>
  <si>
    <t>Cancelled</t>
  </si>
  <si>
    <t>Week Start Date (Monday)</t>
  </si>
  <si>
    <t>Legend: blue-filled cells are editable inputs. Everything else is a formula — leave it alone.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</si>
</sst>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"/>
    <numFmt numFmtId="165" formatCode="0.0%"/>
    <numFmt numFmtId="166" formatCode="0.0"/>
    <numFmt numFmtId="167" formatCode="\+0.0;\-0.0"/>
    <numFmt numFmtId="168" formatCode="dd\-mmm\-yyyy"/>
  </numFmts>
  <fonts count="13" x14ac:knownFonts="1">
    <font>
      <sz val="11"/>
      <color theme="1"/>
      <name val="Calibri"/>
      <family val="2"/>
      <charset val="1"/>
    </font>
    <font>
      <b/>
      <sz val="20"/>
      <color rgb="FF1F2A44"/>
      <name val="Arial"/>
      <charset val="1"/>
    </font>
    <font>
      <sz val="10"/>
      <color rgb="FF8A94A6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1"/>
      <color rgb="FF1F2A44"/>
      <name val="Arial"/>
      <charset val="1"/>
    </font>
    <font>
      <b/>
      <sz val="9"/>
      <color rgb="FF8A94A6"/>
      <name val="Arial"/>
      <charset val="1"/>
    </font>
    <font>
      <b/>
      <sz val="10"/>
      <color rgb="FF1F2A44"/>
      <name val="Arial"/>
      <charset val="1"/>
    </font>
    <font>
      <i/>
      <sz val="8"/>
      <color rgb="FF8A94A6"/>
      <name val="Arial"/>
      <charset val="1"/>
    </font>
    <font>
      <b/>
      <sz val="10"/>
      <color rgb="FFFFFFFF"/>
      <name val="Arial"/>
      <charset val="1"/>
    </font>
    <font>
      <sz val="10"/>
      <color rgb="FF2E3440"/>
      <name val="Arial"/>
      <charset val="1"/>
    </font>
    <font>
      <b/>
      <sz val="11"/>
      <color rgb="FF2F6FED"/>
      <name val="Arial"/>
      <charset val="1"/>
    </font>
    <font>
      <sz val="9"/>
      <color rgb="FF8A94A6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A44"/>
        <bgColor rgb="FF2E3440"/>
      </patternFill>
    </fill>
    <fill>
      <patternFill patternType="solid">
        <fgColor rgb="FF2E3440"/>
        <bgColor rgb="FF1F2A44"/>
      </patternFill>
    </fill>
    <fill>
      <patternFill patternType="solid">
        <fgColor rgb="FF2F6FED"/>
        <bgColor rgb="FF4A7EBB"/>
      </patternFill>
    </fill>
    <fill>
      <patternFill patternType="solid">
        <fgColor rgb="FF4C8BF5"/>
        <bgColor rgb="FF4F81BD"/>
      </patternFill>
    </fill>
    <fill>
      <patternFill patternType="solid">
        <fgColor rgb="FF1E8E5A"/>
        <bgColor rgb="FF4299B0"/>
      </patternFill>
    </fill>
    <fill>
      <patternFill patternType="solid">
        <fgColor rgb="FFD93025"/>
        <bgColor rgb="FFBE4B48"/>
      </patternFill>
    </fill>
    <fill>
      <patternFill patternType="solid">
        <fgColor rgb="FFFFFFFF"/>
        <bgColor rgb="FFF9F9F9"/>
      </patternFill>
    </fill>
    <fill>
      <patternFill patternType="solid">
        <fgColor rgb="FFF4F6F9"/>
        <bgColor rgb="FFF9F9F9"/>
      </patternFill>
    </fill>
    <fill>
      <patternFill patternType="solid">
        <fgColor rgb="FFEAF1FE"/>
        <bgColor rgb="FFF4F6F9"/>
      </patternFill>
    </fill>
  </fills>
  <borders count="3">
    <border>
      <left/>
      <right/>
      <top/>
      <bottom/>
      <diagonal/>
    </border>
    <border>
      <left style="thin">
        <color rgb="FFD8DEE9"/>
      </left>
      <right/>
      <top style="thin">
        <color rgb="FFD8DEE9"/>
      </top>
      <bottom style="thin">
        <color rgb="FFD8DEE9"/>
      </bottom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9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166" fontId="10" fillId="0" borderId="2" xfId="0" applyNumberFormat="1" applyFont="1" applyBorder="1" applyAlignment="1">
      <alignment horizontal="center" vertical="center" wrapText="1"/>
    </xf>
    <xf numFmtId="168" fontId="10" fillId="0" borderId="2" xfId="0" applyNumberFormat="1" applyFont="1" applyBorder="1" applyAlignment="1">
      <alignment horizontal="center" vertical="center" wrapText="1"/>
    </xf>
    <xf numFmtId="0" fontId="11" fillId="0" borderId="0" xfId="0" applyFont="1"/>
    <xf numFmtId="165" fontId="11" fillId="0" borderId="0" xfId="0" applyNumberFormat="1" applyFont="1"/>
    <xf numFmtId="20" fontId="10" fillId="0" borderId="2" xfId="0" applyNumberFormat="1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2" fontId="11" fillId="0" borderId="0" xfId="0" applyNumberFormat="1" applyFont="1"/>
    <xf numFmtId="0" fontId="10" fillId="8" borderId="2" xfId="0" applyFont="1" applyFill="1" applyBorder="1" applyAlignment="1">
      <alignment horizontal="left" vertical="center"/>
    </xf>
    <xf numFmtId="9" fontId="0" fillId="0" borderId="2" xfId="0" applyNumberForma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2" fillId="0" borderId="0" xfId="0" applyFont="1"/>
    <xf numFmtId="0" fontId="10" fillId="9" borderId="2" xfId="0" applyFont="1" applyFill="1" applyBorder="1" applyAlignment="1">
      <alignment horizontal="left" vertical="center"/>
    </xf>
    <xf numFmtId="9" fontId="11" fillId="0" borderId="0" xfId="0" applyNumberFormat="1" applyFont="1"/>
    <xf numFmtId="0" fontId="10" fillId="8" borderId="2" xfId="0" applyFont="1" applyFill="1" applyBorder="1" applyAlignment="1">
      <alignment horizontal="center" vertical="center" wrapText="1"/>
    </xf>
    <xf numFmtId="166" fontId="10" fillId="8" borderId="2" xfId="0" applyNumberFormat="1" applyFont="1" applyFill="1" applyBorder="1" applyAlignment="1">
      <alignment horizontal="center" vertical="center" wrapText="1"/>
    </xf>
    <xf numFmtId="9" fontId="10" fillId="8" borderId="2" xfId="0" applyNumberFormat="1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166" fontId="10" fillId="9" borderId="2" xfId="0" applyNumberFormat="1" applyFont="1" applyFill="1" applyBorder="1" applyAlignment="1">
      <alignment horizontal="center" vertical="center" wrapText="1"/>
    </xf>
    <xf numFmtId="9" fontId="10" fillId="9" borderId="2" xfId="0" applyNumberFormat="1" applyFont="1" applyFill="1" applyBorder="1" applyAlignment="1">
      <alignment horizontal="center" vertical="center" wrapText="1"/>
    </xf>
    <xf numFmtId="166" fontId="10" fillId="10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/>
    <xf numFmtId="9" fontId="0" fillId="0" borderId="2" xfId="0" applyNumberFormat="1" applyBorder="1"/>
    <xf numFmtId="0" fontId="11" fillId="10" borderId="2" xfId="0" applyFont="1" applyFill="1" applyBorder="1" applyAlignment="1">
      <alignment horizontal="center" vertical="center" wrapText="1"/>
    </xf>
    <xf numFmtId="166" fontId="11" fillId="10" borderId="2" xfId="0" applyNumberFormat="1" applyFont="1" applyFill="1" applyBorder="1" applyAlignment="1">
      <alignment horizontal="center" vertical="center" wrapText="1"/>
    </xf>
    <xf numFmtId="9" fontId="11" fillId="10" borderId="2" xfId="0" applyNumberFormat="1" applyFont="1" applyFill="1" applyBorder="1" applyAlignment="1">
      <alignment horizontal="center" vertical="center" wrapText="1"/>
    </xf>
    <xf numFmtId="168" fontId="11" fillId="10" borderId="2" xfId="0" applyNumberFormat="1" applyFont="1" applyFill="1" applyBorder="1" applyAlignment="1">
      <alignment horizontal="center" vertical="center" wrapText="1"/>
    </xf>
    <xf numFmtId="0" fontId="6" fillId="0" borderId="0" xfId="0" applyFont="1"/>
    <xf numFmtId="9" fontId="7" fillId="0" borderId="1" xfId="0" applyNumberFormat="1" applyFont="1" applyBorder="1"/>
    <xf numFmtId="0" fontId="5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1" fontId="4" fillId="6" borderId="0" xfId="0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 wrapText="1"/>
    </xf>
    <xf numFmtId="166" fontId="4" fillId="5" borderId="0" xfId="0" applyNumberFormat="1" applyFont="1" applyFill="1" applyAlignment="1">
      <alignment horizontal="center" vertical="center" wrapText="1"/>
    </xf>
    <xf numFmtId="167" fontId="4" fillId="6" borderId="0" xfId="0" applyNumberFormat="1" applyFont="1" applyFill="1" applyAlignment="1">
      <alignment horizontal="center" vertical="center" wrapText="1"/>
    </xf>
    <xf numFmtId="166" fontId="4" fillId="6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5" fontId="4" fillId="4" borderId="0" xfId="0" applyNumberFormat="1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1">
    <dxf>
      <font>
        <b/>
        <color rgb="FFB98900"/>
        <name val="Arial"/>
        <charset val="1"/>
      </font>
      <fill>
        <patternFill>
          <bgColor rgb="FFFFF6DC"/>
        </patternFill>
      </fill>
    </dxf>
    <dxf>
      <font>
        <b/>
        <color rgb="FFD93025"/>
        <name val="Arial"/>
        <charset val="1"/>
      </font>
      <fill>
        <patternFill>
          <bgColor rgb="FFFDE7E6"/>
        </patternFill>
      </fill>
    </dxf>
    <dxf>
      <font>
        <b/>
        <color rgb="FF1E8E5A"/>
        <name val="Arial"/>
        <charset val="1"/>
      </font>
      <fill>
        <patternFill>
          <bgColor rgb="FFDFF6E7"/>
        </patternFill>
      </fill>
    </dxf>
    <dxf>
      <fill>
        <patternFill>
          <bgColor rgb="FFFDE7E6"/>
        </patternFill>
      </fill>
    </dxf>
    <dxf>
      <fill>
        <patternFill>
          <bgColor rgb="FFFFF6DC"/>
        </patternFill>
      </fill>
    </dxf>
    <dxf>
      <fill>
        <patternFill>
          <bgColor rgb="FFDFF6E7"/>
        </patternFill>
      </fill>
    </dxf>
    <dxf>
      <font>
        <b/>
        <color rgb="FF1E8E5A"/>
        <name val="Arial"/>
        <charset val="1"/>
      </font>
      <fill>
        <patternFill>
          <bgColor rgb="FFDFF6E7"/>
        </patternFill>
      </fill>
    </dxf>
    <dxf>
      <font>
        <b/>
        <color rgb="FFB98900"/>
        <name val="Arial"/>
        <charset val="1"/>
      </font>
      <fill>
        <patternFill>
          <bgColor rgb="FFFFF6DC"/>
        </patternFill>
      </fill>
    </dxf>
    <dxf>
      <font>
        <b/>
        <color rgb="FFD93025"/>
        <name val="Arial"/>
        <charset val="1"/>
      </font>
      <fill>
        <patternFill>
          <bgColor rgb="FFFDE7E6"/>
        </patternFill>
      </fill>
    </dxf>
    <dxf>
      <font>
        <strike/>
        <sz val="10"/>
        <color rgb="FF1E8E5A"/>
        <name val="Arial"/>
        <charset val="1"/>
      </font>
    </dxf>
    <dxf>
      <font>
        <sz val="10"/>
        <color rgb="FF1E8E5A"/>
        <name val="Arial"/>
        <charset val="1"/>
      </font>
      <fill>
        <patternFill>
          <bgColor rgb="FFDFF6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B98900"/>
      <rgbColor rgb="FF800080"/>
      <rgbColor rgb="FF4A7EBB"/>
      <rgbColor rgb="FFB8CD97"/>
      <rgbColor rgb="FF878787"/>
      <rgbColor rgb="FF93A9CE"/>
      <rgbColor rgb="FFAB4744"/>
      <rgbColor rgb="FFFFF6DC"/>
      <rgbColor rgb="FFDFF6E7"/>
      <rgbColor rgb="FF660066"/>
      <rgbColor rgb="FFDC853E"/>
      <rgbColor rgb="FF4672A8"/>
      <rgbColor rgb="FFD8DEE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4C8BF5"/>
      <rgbColor rgb="FFEAF1FE"/>
      <rgbColor rgb="FFF4F6F9"/>
      <rgbColor rgb="FFFDE7E6"/>
      <rgbColor rgb="FF92C3D5"/>
      <rgbColor rgb="FFD09493"/>
      <rgbColor rgb="FFA99BBD"/>
      <rgbColor rgb="FFF8B590"/>
      <rgbColor rgb="FF2F6FED"/>
      <rgbColor rgb="FF4299B0"/>
      <rgbColor rgb="FF98B855"/>
      <rgbColor rgb="FFD9D9D9"/>
      <rgbColor rgb="FF8AA64F"/>
      <rgbColor rgb="FFFF6600"/>
      <rgbColor rgb="FF725990"/>
      <rgbColor rgb="FF8A94A6"/>
      <rgbColor rgb="FF1F2A44"/>
      <rgbColor rgb="FF1E8E5A"/>
      <rgbColor rgb="FF003300"/>
      <rgbColor rgb="FF333300"/>
      <rgbColor rgb="FFD93025"/>
      <rgbColor rgb="FFBE4B48"/>
      <rgbColor rgb="FF7D5FA0"/>
      <rgbColor rgb="FF2E34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Target vs Actual Study Hours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0-CB2A-444B-ACCA-321046983D18}"/>
            </c:ext>
          </c:extLst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1-CB2A-444B-ACCA-321046983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819110"/>
        <c:axId val="79607789"/>
      </c:barChart>
      <c:catAx>
        <c:axId val="92819110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607789"/>
        <c:crosses val="autoZero"/>
        <c:auto val="1"/>
        <c:lblAlgn val="ctr"/>
        <c:lblOffset val="100"/>
        <c:noMultiLvlLbl val="0"/>
      </c:catAx>
      <c:valAx>
        <c:axId val="79607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8191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Daily Study Hours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0-D985-40BC-B118-868B0787B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2643028"/>
        <c:axId val="18721120"/>
      </c:lineChart>
      <c:catAx>
        <c:axId val="72643028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21120"/>
        <c:crosses val="autoZero"/>
        <c:auto val="1"/>
        <c:lblAlgn val="ctr"/>
        <c:lblOffset val="100"/>
        <c:noMultiLvlLbl val="0"/>
      </c:catAx>
      <c:valAx>
        <c:axId val="187211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643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Time Allocation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'Progress Analytics'!$B$5</c:f>
              <c:strCache>
                <c:ptCount val="1"/>
                <c:pt idx="0">
                  <c:v>Hours Logged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1CE-4C54-BB2B-B7E532BAA000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1CE-4C54-BB2B-B7E532BAA000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1CE-4C54-BB2B-B7E532BAA000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1CE-4C54-BB2B-B7E532BAA000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1CE-4C54-BB2B-B7E532BAA000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1CE-4C54-BB2B-B7E532BAA000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1CE-4C54-BB2B-B7E532BAA000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21CE-4C54-BB2B-B7E532BAA000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21CE-4C54-BB2B-B7E532BAA000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21CE-4C54-BB2B-B7E532BAA000}"/>
              </c:ext>
            </c:extLst>
          </c:dPt>
          <c:dPt>
            <c:idx val="10"/>
            <c:bubble3D val="0"/>
            <c:spPr>
              <a:solidFill>
                <a:srgbClr val="92C3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21CE-4C54-BB2B-B7E532BAA000}"/>
              </c:ext>
            </c:extLst>
          </c:dPt>
          <c:dPt>
            <c:idx val="11"/>
            <c:bubble3D val="0"/>
            <c:spPr>
              <a:solidFill>
                <a:srgbClr val="F8B5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21CE-4C54-BB2B-B7E532BAA00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CE-4C54-BB2B-B7E532BAA00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CE-4C54-BB2B-B7E532BAA00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CE-4C54-BB2B-B7E532BAA00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CE-4C54-BB2B-B7E532BAA00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1CE-4C54-BB2B-B7E532BAA00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1CE-4C54-BB2B-B7E532BAA00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1CE-4C54-BB2B-B7E532BAA00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1CE-4C54-BB2B-B7E532BAA000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1CE-4C54-BB2B-B7E532BAA000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1CE-4C54-BB2B-B7E532BAA00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1CE-4C54-BB2B-B7E532BAA000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1CE-4C54-BB2B-B7E532BAA0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'Progress Analytics'!$A$6:$A$17</c:f>
              <c:strCache>
                <c:ptCount val="12"/>
                <c:pt idx="0">
                  <c:v>DSA</c:v>
                </c:pt>
                <c:pt idx="1">
                  <c:v>System Design</c:v>
                </c:pt>
                <c:pt idx="2">
                  <c:v>Gen AI</c:v>
                </c:pt>
                <c:pt idx="3">
                  <c:v>Computer Science Fundamentals</c:v>
                </c:pt>
                <c:pt idx="4">
                  <c:v>Operating Systems</c:v>
                </c:pt>
                <c:pt idx="5">
                  <c:v>DBMS</c:v>
                </c:pt>
                <c:pt idx="6">
                  <c:v>Computer Networks</c:v>
                </c:pt>
                <c:pt idx="7">
                  <c:v>Projects</c:v>
                </c:pt>
                <c:pt idx="8">
                  <c:v>Placement Preparation</c:v>
                </c:pt>
                <c:pt idx="9">
                  <c:v>Mock Interviews</c:v>
                </c:pt>
                <c:pt idx="10">
                  <c:v>Revision</c:v>
                </c:pt>
                <c:pt idx="11">
                  <c:v>College Work</c:v>
                </c:pt>
              </c:strCache>
            </c:strRef>
          </c:cat>
          <c:val>
            <c:numRef>
              <c:f>'Progress Analytics'!$B$6:$B$17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CE-4C54-BB2B-B7E532BAA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Habit Completion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'Habit Tracker'!$I$4</c:f>
              <c:strCache>
                <c:ptCount val="1"/>
                <c:pt idx="0">
                  <c:v>Weekly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'Habit Tracker'!$A$5:$A$19</c:f>
              <c:strCache>
                <c:ptCount val="15"/>
                <c:pt idx="0">
                  <c:v>Wake up on time</c:v>
                </c:pt>
                <c:pt idx="1">
                  <c:v>Gym</c:v>
                </c:pt>
                <c:pt idx="2">
                  <c:v>Meditation</c:v>
                </c:pt>
                <c:pt idx="3">
                  <c:v>Reading</c:v>
                </c:pt>
                <c:pt idx="4">
                  <c:v>DSA Practice</c:v>
                </c:pt>
                <c:pt idx="5">
                  <c:v>System Design</c:v>
                </c:pt>
                <c:pt idx="6">
                  <c:v>Gen AI</c:v>
                </c:pt>
                <c:pt idx="7">
                  <c:v>Revision</c:v>
                </c:pt>
                <c:pt idx="8">
                  <c:v>LeetCode</c:v>
                </c:pt>
                <c:pt idx="9">
                  <c:v>Drink Water</c:v>
                </c:pt>
                <c:pt idx="10">
                  <c:v>Sleep before 12</c:v>
                </c:pt>
                <c:pt idx="11">
                  <c:v>Journal</c:v>
                </c:pt>
                <c:pt idx="12">
                  <c:v>Exercise</c:v>
                </c:pt>
                <c:pt idx="13">
                  <c:v>Coding</c:v>
                </c:pt>
                <c:pt idx="14">
                  <c:v>No Social Media</c:v>
                </c:pt>
              </c:strCache>
            </c:strRef>
          </c:cat>
          <c:val>
            <c:numRef>
              <c:f>'Habit Tracker'!$I$5:$I$19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7-41CA-97C9-9BCFDC31C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166614"/>
        <c:axId val="20637783"/>
      </c:barChart>
      <c:catAx>
        <c:axId val="7916661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37783"/>
        <c:crosses val="autoZero"/>
        <c:auto val="1"/>
        <c:lblAlgn val="ctr"/>
        <c:lblOffset val="100"/>
        <c:noMultiLvlLbl val="0"/>
      </c:catAx>
      <c:valAx>
        <c:axId val="206377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1666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Weekly Goal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tLst>
            <c:ext xmlns:c16="http://schemas.microsoft.com/office/drawing/2014/chart" uri="{C3380CC4-5D6E-409C-BE32-E72D297353CC}">
              <c16:uniqueId val="{00000000-C4F6-4781-B7B9-6E2D1BBEA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Weekly Completion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'Progress Analytics'!$A$31</c:f>
              <c:strCache>
                <c:ptCount val="1"/>
                <c:pt idx="0">
                  <c:v>Week 1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'Progress Analytics'!$A$32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A0-493A-88BB-129DF0C8B262}"/>
            </c:ext>
          </c:extLst>
        </c:ser>
        <c:ser>
          <c:idx val="1"/>
          <c:order val="1"/>
          <c:tx>
            <c:strRef>
              <c:f>'Progress Analytics'!$B$31</c:f>
              <c:strCache>
                <c:ptCount val="1"/>
                <c:pt idx="0">
                  <c:v>Week 2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'Progress Analytics'!$B$32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A0-493A-88BB-129DF0C8B262}"/>
            </c:ext>
          </c:extLst>
        </c:ser>
        <c:ser>
          <c:idx val="2"/>
          <c:order val="2"/>
          <c:tx>
            <c:strRef>
              <c:f>'Progress Analytics'!$C$31</c:f>
              <c:strCache>
                <c:ptCount val="1"/>
                <c:pt idx="0">
                  <c:v>Week 3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'Progress Analytics'!$C$32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0A0-493A-88BB-129DF0C8B262}"/>
            </c:ext>
          </c:extLst>
        </c:ser>
        <c:ser>
          <c:idx val="3"/>
          <c:order val="3"/>
          <c:tx>
            <c:strRef>
              <c:f>'Progress Analytics'!$D$31</c:f>
              <c:strCache>
                <c:ptCount val="1"/>
                <c:pt idx="0">
                  <c:v>Week 4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'Progress Analytics'!$D$32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0A0-493A-88BB-129DF0C8B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111604"/>
        <c:axId val="78651084"/>
      </c:lineChart>
      <c:catAx>
        <c:axId val="901116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651084"/>
        <c:crosses val="autoZero"/>
        <c:auto val="1"/>
        <c:lblAlgn val="ctr"/>
        <c:lblOffset val="100"/>
        <c:noMultiLvlLbl val="0"/>
      </c:catAx>
      <c:valAx>
        <c:axId val="78651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1116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Subject-wise Hours Logged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'Progress Analytics'!$B$5</c:f>
              <c:strCache>
                <c:ptCount val="1"/>
                <c:pt idx="0">
                  <c:v>Hours Logged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'Progress Analytics'!$A$6:$A$17</c:f>
              <c:strCache>
                <c:ptCount val="12"/>
                <c:pt idx="0">
                  <c:v>DSA</c:v>
                </c:pt>
                <c:pt idx="1">
                  <c:v>System Design</c:v>
                </c:pt>
                <c:pt idx="2">
                  <c:v>Gen AI</c:v>
                </c:pt>
                <c:pt idx="3">
                  <c:v>Computer Science Fundamentals</c:v>
                </c:pt>
                <c:pt idx="4">
                  <c:v>Operating Systems</c:v>
                </c:pt>
                <c:pt idx="5">
                  <c:v>DBMS</c:v>
                </c:pt>
                <c:pt idx="6">
                  <c:v>Computer Networks</c:v>
                </c:pt>
                <c:pt idx="7">
                  <c:v>Projects</c:v>
                </c:pt>
                <c:pt idx="8">
                  <c:v>Placement Preparation</c:v>
                </c:pt>
                <c:pt idx="9">
                  <c:v>Mock Interviews</c:v>
                </c:pt>
                <c:pt idx="10">
                  <c:v>Revision</c:v>
                </c:pt>
                <c:pt idx="11">
                  <c:v>College Work</c:v>
                </c:pt>
              </c:strCache>
            </c:strRef>
          </c:cat>
          <c:val>
            <c:numRef>
              <c:f>'Progress Analytics'!$B$6:$B$17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D-4CDF-A071-B2F83BE9B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31718"/>
        <c:axId val="3860940"/>
      </c:barChart>
      <c:catAx>
        <c:axId val="356317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60940"/>
        <c:crosses val="autoZero"/>
        <c:auto val="1"/>
        <c:lblAlgn val="ctr"/>
        <c:lblOffset val="100"/>
        <c:noMultiLvlLbl val="0"/>
      </c:catAx>
      <c:valAx>
        <c:axId val="38609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317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Time Allocation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'Progress Analytics'!$B$5</c:f>
              <c:strCache>
                <c:ptCount val="1"/>
                <c:pt idx="0">
                  <c:v>Hours Logged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3E3-4538-8347-43F3A5FDBD5B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3E3-4538-8347-43F3A5FDBD5B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3E3-4538-8347-43F3A5FDBD5B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3E3-4538-8347-43F3A5FDBD5B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3E3-4538-8347-43F3A5FDBD5B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E3E3-4538-8347-43F3A5FDBD5B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E3E3-4538-8347-43F3A5FDBD5B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E3E3-4538-8347-43F3A5FDBD5B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E3E3-4538-8347-43F3A5FDBD5B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E3E3-4538-8347-43F3A5FDBD5B}"/>
              </c:ext>
            </c:extLst>
          </c:dPt>
          <c:dPt>
            <c:idx val="10"/>
            <c:bubble3D val="0"/>
            <c:spPr>
              <a:solidFill>
                <a:srgbClr val="92C3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E3E3-4538-8347-43F3A5FDBD5B}"/>
              </c:ext>
            </c:extLst>
          </c:dPt>
          <c:dPt>
            <c:idx val="11"/>
            <c:bubble3D val="0"/>
            <c:spPr>
              <a:solidFill>
                <a:srgbClr val="F8B5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E3E3-4538-8347-43F3A5FDBD5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E3-4538-8347-43F3A5FDBD5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E3-4538-8347-43F3A5FDBD5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E3-4538-8347-43F3A5FDBD5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E3-4538-8347-43F3A5FDBD5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E3-4538-8347-43F3A5FDBD5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E3-4538-8347-43F3A5FDBD5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E3-4538-8347-43F3A5FDBD5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E3-4538-8347-43F3A5FDBD5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E3-4538-8347-43F3A5FDBD5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E3-4538-8347-43F3A5FDBD5B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E3-4538-8347-43F3A5FDBD5B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E3-4538-8347-43F3A5FDBD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'Progress Analytics'!$A$6:$A$17</c:f>
              <c:strCache>
                <c:ptCount val="12"/>
                <c:pt idx="0">
                  <c:v>DSA</c:v>
                </c:pt>
                <c:pt idx="1">
                  <c:v>System Design</c:v>
                </c:pt>
                <c:pt idx="2">
                  <c:v>Gen AI</c:v>
                </c:pt>
                <c:pt idx="3">
                  <c:v>Computer Science Fundamentals</c:v>
                </c:pt>
                <c:pt idx="4">
                  <c:v>Operating Systems</c:v>
                </c:pt>
                <c:pt idx="5">
                  <c:v>DBMS</c:v>
                </c:pt>
                <c:pt idx="6">
                  <c:v>Computer Networks</c:v>
                </c:pt>
                <c:pt idx="7">
                  <c:v>Projects</c:v>
                </c:pt>
                <c:pt idx="8">
                  <c:v>Placement Preparation</c:v>
                </c:pt>
                <c:pt idx="9">
                  <c:v>Mock Interviews</c:v>
                </c:pt>
                <c:pt idx="10">
                  <c:v>Revision</c:v>
                </c:pt>
                <c:pt idx="11">
                  <c:v>College Work</c:v>
                </c:pt>
              </c:strCache>
            </c:strRef>
          </c:cat>
          <c:val>
            <c:numRef>
              <c:f>'Progress Analytics'!$B$6:$B$17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3E3-4538-8347-43F3A5FDB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Productivity vs Focus (each session)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Sessions</c:v>
          </c:tx>
          <c:spPr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'Daily Study Log'!$L$5:$L$39</c:f>
              <c:numCache>
                <c:formatCode>General</c:formatCode>
                <c:ptCount val="35"/>
              </c:numCache>
            </c:numRef>
          </c:xVal>
          <c:yVal>
            <c:numRef>
              <c:f>'Daily Study Log'!$J$5:$J$39</c:f>
              <c:numCache>
                <c:formatCode>General</c:formatCode>
                <c:ptCount val="3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37-4089-BB21-5BB58B9D4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69387"/>
        <c:axId val="85405066"/>
      </c:scatterChart>
      <c:valAx>
        <c:axId val="291693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Focus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405066"/>
        <c:crosses val="autoZero"/>
        <c:crossBetween val="midCat"/>
      </c:valAx>
      <c:valAx>
        <c:axId val="854050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Productivity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6938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Subject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'Progress Analytics'!$A$37:$A$43</c:f>
              <c:strCache>
                <c:ptCount val="7"/>
                <c:pt idx="0">
                  <c:v>DSA</c:v>
                </c:pt>
                <c:pt idx="1">
                  <c:v>System Design</c:v>
                </c:pt>
                <c:pt idx="2">
                  <c:v>Gen AI</c:v>
                </c:pt>
                <c:pt idx="3">
                  <c:v>Projects</c:v>
                </c:pt>
                <c:pt idx="4">
                  <c:v>Placement Preparation</c:v>
                </c:pt>
                <c:pt idx="5">
                  <c:v>Computer Science Fundamentals</c:v>
                </c:pt>
                <c:pt idx="6">
                  <c:v>Mock Interviews</c:v>
                </c:pt>
              </c:strCache>
            </c:strRef>
          </c:cat>
          <c:val>
            <c:numRef>
              <c:f>'Progress Analytics'!$B$37:$B$43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0-41C3-870B-B996C3AFC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2993"/>
        <c:axId val="12106672"/>
      </c:radarChart>
      <c:catAx>
        <c:axId val="1260299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06672"/>
        <c:crosses val="autoZero"/>
        <c:auto val="1"/>
        <c:lblAlgn val="ctr"/>
        <c:lblOffset val="100"/>
        <c:noMultiLvlLbl val="0"/>
      </c:catAx>
      <c:valAx>
        <c:axId val="12106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60299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27</xdr:row>
      <xdr:rowOff>84167</xdr:rowOff>
    </xdr:from>
    <xdr:to>
      <xdr:col>6</xdr:col>
      <xdr:colOff>303540</xdr:colOff>
      <xdr:row>43</xdr:row>
      <xdr:rowOff>95687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571499</xdr:colOff>
      <xdr:row>27</xdr:row>
      <xdr:rowOff>111382</xdr:rowOff>
    </xdr:from>
    <xdr:to>
      <xdr:col>15</xdr:col>
      <xdr:colOff>99792</xdr:colOff>
      <xdr:row>43</xdr:row>
      <xdr:rowOff>122902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423183</xdr:colOff>
      <xdr:row>27</xdr:row>
      <xdr:rowOff>164449</xdr:rowOff>
    </xdr:from>
    <xdr:to>
      <xdr:col>25</xdr:col>
      <xdr:colOff>326853</xdr:colOff>
      <xdr:row>43</xdr:row>
      <xdr:rowOff>175969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476250</xdr:colOff>
      <xdr:row>48</xdr:row>
      <xdr:rowOff>84167</xdr:rowOff>
    </xdr:from>
    <xdr:to>
      <xdr:col>6</xdr:col>
      <xdr:colOff>589290</xdr:colOff>
      <xdr:row>67</xdr:row>
      <xdr:rowOff>64007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979714</xdr:colOff>
      <xdr:row>49</xdr:row>
      <xdr:rowOff>124988</xdr:rowOff>
    </xdr:from>
    <xdr:to>
      <xdr:col>15</xdr:col>
      <xdr:colOff>508007</xdr:colOff>
      <xdr:row>65</xdr:row>
      <xdr:rowOff>136508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27214</xdr:colOff>
      <xdr:row>49</xdr:row>
      <xdr:rowOff>84167</xdr:rowOff>
    </xdr:from>
    <xdr:to>
      <xdr:col>25</xdr:col>
      <xdr:colOff>513270</xdr:colOff>
      <xdr:row>65</xdr:row>
      <xdr:rowOff>95687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1700893</xdr:colOff>
      <xdr:row>4</xdr:row>
      <xdr:rowOff>124989</xdr:rowOff>
    </xdr:from>
    <xdr:to>
      <xdr:col>15</xdr:col>
      <xdr:colOff>16851</xdr:colOff>
      <xdr:row>21</xdr:row>
      <xdr:rowOff>126069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1374322</xdr:colOff>
      <xdr:row>23</xdr:row>
      <xdr:rowOff>84168</xdr:rowOff>
    </xdr:from>
    <xdr:to>
      <xdr:col>14</xdr:col>
      <xdr:colOff>275388</xdr:colOff>
      <xdr:row>40</xdr:row>
      <xdr:rowOff>85248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136072</xdr:colOff>
      <xdr:row>41</xdr:row>
      <xdr:rowOff>56954</xdr:rowOff>
    </xdr:from>
    <xdr:to>
      <xdr:col>7</xdr:col>
      <xdr:colOff>152924</xdr:colOff>
      <xdr:row>58</xdr:row>
      <xdr:rowOff>58034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789214</xdr:colOff>
      <xdr:row>41</xdr:row>
      <xdr:rowOff>111381</xdr:rowOff>
    </xdr:from>
    <xdr:to>
      <xdr:col>16</xdr:col>
      <xdr:colOff>520315</xdr:colOff>
      <xdr:row>60</xdr:row>
      <xdr:rowOff>91221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nerTable" displayName="PlannerTable" ref="A4:M32" totalsRowShown="0">
  <autoFilter ref="A4:M32" xr:uid="{00000000-0009-0000-0100-000001000000}"/>
  <tableColumns count="13">
    <tableColumn id="1" xr3:uid="{00000000-0010-0000-0000-000001000000}" name="Day"/>
    <tableColumn id="2" xr3:uid="{00000000-0010-0000-0000-000002000000}" name="Subject"/>
    <tableColumn id="3" xr3:uid="{00000000-0010-0000-0000-000003000000}" name="Task"/>
    <tableColumn id="4" xr3:uid="{00000000-0010-0000-0000-000004000000}" name="Priority"/>
    <tableColumn id="5" xr3:uid="{00000000-0010-0000-0000-000005000000}" name="Est. Hours"/>
    <tableColumn id="6" xr3:uid="{00000000-0010-0000-0000-000006000000}" name="Actual Hours"/>
    <tableColumn id="7" xr3:uid="{00000000-0010-0000-0000-000007000000}" name="Status"/>
    <tableColumn id="8" xr3:uid="{00000000-0010-0000-0000-000008000000}" name="Deadline"/>
    <tableColumn id="9" xr3:uid="{00000000-0010-0000-0000-000009000000}" name="Completed"/>
    <tableColumn id="10" xr3:uid="{00000000-0010-0000-0000-00000A000000}" name="Topic"/>
    <tableColumn id="11" xr3:uid="{00000000-0010-0000-0000-00000B000000}" name="Difficulty"/>
    <tableColumn id="12" xr3:uid="{00000000-0010-0000-0000-00000C000000}" name="Revision Required"/>
    <tableColumn id="13" xr3:uid="{00000000-0010-0000-0000-00000D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udyLogTable" displayName="StudyLogTable" ref="A4:N39" totalsRowShown="0">
  <autoFilter ref="A4:N39" xr:uid="{00000000-0009-0000-0100-000002000000}"/>
  <tableColumns count="14">
    <tableColumn id="1" xr3:uid="{00000000-0010-0000-0100-000001000000}" name="Date"/>
    <tableColumn id="2" xr3:uid="{00000000-0010-0000-0100-000002000000}" name="Start Time"/>
    <tableColumn id="3" xr3:uid="{00000000-0010-0000-0100-000003000000}" name="End Time"/>
    <tableColumn id="4" xr3:uid="{00000000-0010-0000-0100-000004000000}" name="Duration (hrs)"/>
    <tableColumn id="5" xr3:uid="{00000000-0010-0000-0100-000005000000}" name="Subject"/>
    <tableColumn id="6" xr3:uid="{00000000-0010-0000-0100-000006000000}" name="Topic"/>
    <tableColumn id="7" xr3:uid="{00000000-0010-0000-0100-000007000000}" name="Study Type"/>
    <tableColumn id="8" xr3:uid="{00000000-0010-0000-0100-000008000000}" name="Deep Work?"/>
    <tableColumn id="9" xr3:uid="{00000000-0010-0000-0100-000009000000}" name="Pomodoro Count"/>
    <tableColumn id="10" xr3:uid="{00000000-0010-0000-0100-00000A000000}" name="Productivity (1-10)"/>
    <tableColumn id="11" xr3:uid="{00000000-0010-0000-0100-00000B000000}" name="Energy Level (1-10)"/>
    <tableColumn id="12" xr3:uid="{00000000-0010-0000-0100-00000C000000}" name="Focus Level (1-10)"/>
    <tableColumn id="13" xr3:uid="{00000000-0010-0000-0100-00000D000000}" name="Distractions"/>
    <tableColumn id="14" xr3:uid="{00000000-0010-0000-0100-00000E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6FED"/>
    <pageSetUpPr fitToPage="1"/>
  </sheetPr>
  <dimension ref="B1:N69"/>
  <sheetViews>
    <sheetView showGridLines="0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14" sqref="Q14"/>
    </sheetView>
  </sheetViews>
  <sheetFormatPr defaultColWidth="8.7109375" defaultRowHeight="15" x14ac:dyDescent="0.25"/>
  <cols>
    <col min="1" max="1" width="3" customWidth="1"/>
    <col min="2" max="11" width="15" customWidth="1"/>
    <col min="12" max="12" width="3" hidden="1" customWidth="1"/>
    <col min="13" max="14" width="13" hidden="1" customWidth="1"/>
  </cols>
  <sheetData>
    <row r="1" spans="2:11" ht="6" customHeight="1" x14ac:dyDescent="0.25"/>
    <row r="2" spans="2:11" ht="26.25" x14ac:dyDescent="0.4">
      <c r="B2" s="57" t="s">
        <v>0</v>
      </c>
      <c r="C2" s="57"/>
      <c r="D2" s="57"/>
      <c r="E2" s="57"/>
      <c r="F2" s="57"/>
    </row>
    <row r="3" spans="2:11" x14ac:dyDescent="0.25">
      <c r="B3" s="58" t="str">
        <f>"Week " &amp; WEEKNUM(WeekStart,1) &amp; "  -  " &amp; TEXT(WeekStart,"dd mmm yyyy") &amp; " to " &amp; TEXT(WeekStart+6,"dd mmm yyyy")</f>
        <v>Week 32  -  03 Aug 2026 to 09 Aug 2026</v>
      </c>
      <c r="C3" s="58"/>
      <c r="D3" s="58"/>
      <c r="E3" s="58"/>
      <c r="F3" s="58"/>
    </row>
    <row r="5" spans="2:11" ht="15.75" customHeight="1" x14ac:dyDescent="0.25">
      <c r="B5" s="42" t="s">
        <v>1</v>
      </c>
      <c r="C5" s="42"/>
      <c r="D5" s="43" t="s">
        <v>2</v>
      </c>
      <c r="E5" s="43"/>
      <c r="F5" s="43" t="s">
        <v>3</v>
      </c>
      <c r="G5" s="43"/>
      <c r="H5" s="54" t="s">
        <v>4</v>
      </c>
      <c r="I5" s="54"/>
      <c r="J5" s="54" t="s">
        <v>5</v>
      </c>
      <c r="K5" s="54"/>
    </row>
    <row r="6" spans="2:11" ht="21.75" customHeight="1" x14ac:dyDescent="0.25">
      <c r="B6" s="46">
        <f>WEEKNUM(WeekStart,1)</f>
        <v>32</v>
      </c>
      <c r="C6" s="46"/>
      <c r="D6" s="55">
        <f>WeekStart</f>
        <v>46237</v>
      </c>
      <c r="E6" s="55"/>
      <c r="F6" s="55">
        <f>WeekStart+6</f>
        <v>46243</v>
      </c>
      <c r="G6" s="55"/>
      <c r="H6" s="56">
        <f>'Weekly Planner'!$B$39</f>
        <v>0</v>
      </c>
      <c r="I6" s="56"/>
      <c r="J6" s="56">
        <f>'Habit Tracker'!$B$25</f>
        <v>0</v>
      </c>
      <c r="K6" s="56"/>
    </row>
    <row r="7" spans="2:11" ht="6" customHeight="1" x14ac:dyDescent="0.25">
      <c r="B7" s="46"/>
      <c r="C7" s="46"/>
      <c r="D7" s="55"/>
      <c r="E7" s="55"/>
      <c r="F7" s="55"/>
      <c r="G7" s="55"/>
      <c r="H7" s="56"/>
      <c r="I7" s="56"/>
      <c r="J7" s="56"/>
      <c r="K7" s="56"/>
    </row>
    <row r="9" spans="2:11" ht="15.75" customHeight="1" x14ac:dyDescent="0.25">
      <c r="B9" s="53" t="s">
        <v>6</v>
      </c>
      <c r="C9" s="53"/>
      <c r="D9" s="53" t="s">
        <v>7</v>
      </c>
      <c r="E9" s="53"/>
      <c r="F9" s="44" t="s">
        <v>8</v>
      </c>
      <c r="G9" s="44"/>
      <c r="H9" s="44" t="s">
        <v>9</v>
      </c>
      <c r="I9" s="44"/>
      <c r="J9" s="44" t="s">
        <v>10</v>
      </c>
      <c r="K9" s="44"/>
    </row>
    <row r="10" spans="2:11" ht="21.75" customHeight="1" x14ac:dyDescent="0.25">
      <c r="B10" s="50">
        <f>WeeklyGoalHrs</f>
        <v>40</v>
      </c>
      <c r="C10" s="50"/>
      <c r="D10" s="50">
        <f>'Daily Study Log'!$B$44</f>
        <v>0</v>
      </c>
      <c r="E10" s="50"/>
      <c r="F10" s="51">
        <f>'Daily Study Log'!$B$44-WeeklyGoalHrs</f>
        <v>-40</v>
      </c>
      <c r="G10" s="51"/>
      <c r="H10" s="52">
        <f>MAX('Habit Tracker'!$J$5:$J$19)</f>
        <v>0</v>
      </c>
      <c r="I10" s="52"/>
      <c r="J10" s="52">
        <f>MAX('Habit Tracker'!$K$5:$K$19)</f>
        <v>0</v>
      </c>
      <c r="K10" s="52"/>
    </row>
    <row r="11" spans="2:11" ht="6" customHeight="1" x14ac:dyDescent="0.25">
      <c r="B11" s="50"/>
      <c r="C11" s="50"/>
      <c r="D11" s="50"/>
      <c r="E11" s="50"/>
      <c r="F11" s="51"/>
      <c r="G11" s="51"/>
      <c r="H11" s="52"/>
      <c r="I11" s="52"/>
      <c r="J11" s="52"/>
      <c r="K11" s="52"/>
    </row>
    <row r="13" spans="2:11" ht="15.75" customHeight="1" x14ac:dyDescent="0.25">
      <c r="B13" s="42" t="s">
        <v>11</v>
      </c>
      <c r="C13" s="42"/>
      <c r="D13" s="43" t="s">
        <v>12</v>
      </c>
      <c r="E13" s="43"/>
      <c r="F13" s="44" t="s">
        <v>13</v>
      </c>
      <c r="G13" s="44"/>
      <c r="H13" s="45" t="s">
        <v>14</v>
      </c>
      <c r="I13" s="45"/>
    </row>
    <row r="14" spans="2:11" ht="21.75" customHeight="1" x14ac:dyDescent="0.25">
      <c r="B14" s="46">
        <f>'Weekly Planner'!$B$37</f>
        <v>0</v>
      </c>
      <c r="C14" s="46"/>
      <c r="D14" s="47">
        <f>'Weekly Planner'!$B$38</f>
        <v>28</v>
      </c>
      <c r="E14" s="47"/>
      <c r="F14" s="48">
        <f>'Habit Tracker'!$B$23</f>
        <v>0</v>
      </c>
      <c r="G14" s="48"/>
      <c r="H14" s="49">
        <f>'Habit Tracker'!$B$24</f>
        <v>15</v>
      </c>
      <c r="I14" s="49"/>
    </row>
    <row r="15" spans="2:11" ht="6" customHeight="1" x14ac:dyDescent="0.25">
      <c r="B15" s="46"/>
      <c r="C15" s="46"/>
      <c r="D15" s="47"/>
      <c r="E15" s="47"/>
      <c r="F15" s="48"/>
      <c r="G15" s="48"/>
      <c r="H15" s="49"/>
      <c r="I15" s="49"/>
    </row>
    <row r="17" spans="2:14" x14ac:dyDescent="0.25">
      <c r="B17" s="41" t="s">
        <v>15</v>
      </c>
      <c r="C17" s="41"/>
      <c r="D17" s="41"/>
      <c r="E17" s="41"/>
      <c r="F17" s="41"/>
      <c r="G17" s="41"/>
      <c r="H17" s="41"/>
      <c r="I17" s="41"/>
      <c r="J17" s="41"/>
      <c r="K17" s="41"/>
    </row>
    <row r="18" spans="2:14" x14ac:dyDescent="0.25">
      <c r="B18" s="39" t="s">
        <v>16</v>
      </c>
      <c r="C18" s="39"/>
      <c r="D18" s="40">
        <f>'Weekly Planner'!$B$39</f>
        <v>0</v>
      </c>
      <c r="E18" s="40"/>
      <c r="F18" s="40"/>
      <c r="G18" s="40"/>
      <c r="H18" s="40"/>
      <c r="I18" s="40"/>
      <c r="J18" s="40"/>
      <c r="K18" s="40"/>
    </row>
    <row r="20" spans="2:14" x14ac:dyDescent="0.25">
      <c r="B20" s="39" t="s">
        <v>17</v>
      </c>
      <c r="C20" s="39"/>
      <c r="D20" s="40">
        <f>IFERROR('Daily Study Log'!$B$43/DailyGoalHrs,0)</f>
        <v>0</v>
      </c>
      <c r="E20" s="40"/>
      <c r="F20" s="40"/>
      <c r="G20" s="40"/>
      <c r="H20" s="40"/>
      <c r="I20" s="40"/>
      <c r="J20" s="40"/>
      <c r="K20" s="40"/>
    </row>
    <row r="22" spans="2:14" x14ac:dyDescent="0.25">
      <c r="B22" s="39" t="s">
        <v>18</v>
      </c>
      <c r="C22" s="39"/>
      <c r="D22" s="40">
        <f>IFERROR(AVERAGE('Progress Analytics'!$E$6:$E$17),0)</f>
        <v>0</v>
      </c>
      <c r="E22" s="40"/>
      <c r="F22" s="40"/>
      <c r="G22" s="40"/>
      <c r="H22" s="40"/>
      <c r="I22" s="40"/>
      <c r="J22" s="40"/>
      <c r="K22" s="40"/>
    </row>
    <row r="24" spans="2:14" x14ac:dyDescent="0.25">
      <c r="B24" s="39" t="s">
        <v>19</v>
      </c>
      <c r="C24" s="39"/>
      <c r="D24" s="40">
        <f>'Habit Tracker'!$B$25</f>
        <v>0</v>
      </c>
      <c r="E24" s="40"/>
      <c r="F24" s="40"/>
      <c r="G24" s="40"/>
      <c r="H24" s="40"/>
      <c r="I24" s="40"/>
      <c r="J24" s="40"/>
      <c r="K24" s="40"/>
    </row>
    <row r="27" spans="2:14" x14ac:dyDescent="0.25">
      <c r="B27" s="3" t="s">
        <v>20</v>
      </c>
    </row>
    <row r="28" spans="2:14" x14ac:dyDescent="0.25">
      <c r="M28" s="5" t="s">
        <v>21</v>
      </c>
      <c r="N28" s="5" t="s">
        <v>22</v>
      </c>
    </row>
    <row r="29" spans="2:14" x14ac:dyDescent="0.25">
      <c r="L29" t="s">
        <v>23</v>
      </c>
      <c r="M29">
        <f>WeeklyGoalHrs</f>
        <v>40</v>
      </c>
      <c r="N29" s="6">
        <f>'Daily Study Log'!$B$44</f>
        <v>0</v>
      </c>
    </row>
    <row r="47" spans="12:13" x14ac:dyDescent="0.25">
      <c r="L47" t="s">
        <v>24</v>
      </c>
      <c r="M47" t="s">
        <v>25</v>
      </c>
    </row>
    <row r="48" spans="12:13" x14ac:dyDescent="0.25">
      <c r="L48" t="s">
        <v>26</v>
      </c>
      <c r="M48">
        <f>SUMIFS('Daily Study Log'!$D$5:$D$39,'Daily Study Log'!$A$5:$A$39,WeekStart+0)</f>
        <v>0</v>
      </c>
    </row>
    <row r="49" spans="12:13" x14ac:dyDescent="0.25">
      <c r="L49" t="s">
        <v>27</v>
      </c>
      <c r="M49">
        <f>SUMIFS('Daily Study Log'!$D$5:$D$39,'Daily Study Log'!$A$5:$A$39,WeekStart+1)</f>
        <v>0</v>
      </c>
    </row>
    <row r="50" spans="12:13" x14ac:dyDescent="0.25">
      <c r="L50" t="s">
        <v>28</v>
      </c>
      <c r="M50">
        <f>SUMIFS('Daily Study Log'!$D$5:$D$39,'Daily Study Log'!$A$5:$A$39,WeekStart+2)</f>
        <v>0</v>
      </c>
    </row>
    <row r="51" spans="12:13" x14ac:dyDescent="0.25">
      <c r="L51" t="s">
        <v>29</v>
      </c>
      <c r="M51">
        <f>SUMIFS('Daily Study Log'!$D$5:$D$39,'Daily Study Log'!$A$5:$A$39,WeekStart+3)</f>
        <v>0</v>
      </c>
    </row>
    <row r="52" spans="12:13" x14ac:dyDescent="0.25">
      <c r="L52" t="s">
        <v>30</v>
      </c>
      <c r="M52">
        <f>SUMIFS('Daily Study Log'!$D$5:$D$39,'Daily Study Log'!$A$5:$A$39,WeekStart+4)</f>
        <v>0</v>
      </c>
    </row>
    <row r="53" spans="12:13" x14ac:dyDescent="0.25">
      <c r="L53" t="s">
        <v>31</v>
      </c>
      <c r="M53">
        <f>SUMIFS('Daily Study Log'!$D$5:$D$39,'Daily Study Log'!$A$5:$A$39,WeekStart+5)</f>
        <v>0</v>
      </c>
    </row>
    <row r="54" spans="12:13" x14ac:dyDescent="0.25">
      <c r="L54" t="s">
        <v>32</v>
      </c>
      <c r="M54">
        <f>SUMIFS('Daily Study Log'!$D$5:$D$39,'Daily Study Log'!$A$5:$A$39,WeekStart+6)</f>
        <v>0</v>
      </c>
    </row>
    <row r="67" spans="12:13" x14ac:dyDescent="0.25">
      <c r="L67" t="s">
        <v>33</v>
      </c>
      <c r="M67" t="s">
        <v>34</v>
      </c>
    </row>
    <row r="68" spans="12:13" x14ac:dyDescent="0.25">
      <c r="L68" t="s">
        <v>35</v>
      </c>
      <c r="M68" s="7">
        <f>'Weekly Planner'!$B$39</f>
        <v>0</v>
      </c>
    </row>
    <row r="69" spans="12:13" x14ac:dyDescent="0.25">
      <c r="L69" t="s">
        <v>36</v>
      </c>
      <c r="M69" s="8">
        <f>1-'Weekly Planner'!$B$39</f>
        <v>1</v>
      </c>
    </row>
  </sheetData>
  <mergeCells count="39">
    <mergeCell ref="B2:F2"/>
    <mergeCell ref="B3:F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  <mergeCell ref="B9:C9"/>
    <mergeCell ref="D9:E9"/>
    <mergeCell ref="F9:G9"/>
    <mergeCell ref="H9:I9"/>
    <mergeCell ref="J9:K9"/>
    <mergeCell ref="B10:C11"/>
    <mergeCell ref="D10:E11"/>
    <mergeCell ref="F10:G11"/>
    <mergeCell ref="H10:I11"/>
    <mergeCell ref="J10:K11"/>
    <mergeCell ref="B13:C13"/>
    <mergeCell ref="D13:E13"/>
    <mergeCell ref="F13:G13"/>
    <mergeCell ref="H13:I13"/>
    <mergeCell ref="B14:C15"/>
    <mergeCell ref="D14:E15"/>
    <mergeCell ref="F14:G15"/>
    <mergeCell ref="H14:I15"/>
    <mergeCell ref="B22:C22"/>
    <mergeCell ref="D22:K22"/>
    <mergeCell ref="B24:C24"/>
    <mergeCell ref="D24:K24"/>
    <mergeCell ref="B17:K17"/>
    <mergeCell ref="B18:C18"/>
    <mergeCell ref="D18:K18"/>
    <mergeCell ref="B20:C20"/>
    <mergeCell ref="D20:K20"/>
  </mergeCells>
  <conditionalFormatting sqref="D18:K18">
    <cfRule type="dataBar" priority="2">
      <dataBar>
        <cfvo type="num" val="0"/>
        <cfvo type="num" val="1"/>
        <color rgb="FF2F6FED"/>
      </dataBar>
      <extLst>
        <ext xmlns:x14="http://schemas.microsoft.com/office/spreadsheetml/2009/9/main" uri="{B025F937-C7B1-47D3-B67F-A62EFF666E3E}">
          <x14:id>{E7A4AB20-90F4-4E2D-A0E6-A1AF1D30CFFB}</x14:id>
        </ext>
      </extLst>
    </cfRule>
  </conditionalFormatting>
  <conditionalFormatting sqref="D20:K20">
    <cfRule type="dataBar" priority="3">
      <dataBar>
        <cfvo type="num" val="0"/>
        <cfvo type="num" val="1"/>
        <color rgb="FF2F6FED"/>
      </dataBar>
      <extLst>
        <ext xmlns:x14="http://schemas.microsoft.com/office/spreadsheetml/2009/9/main" uri="{B025F937-C7B1-47D3-B67F-A62EFF666E3E}">
          <x14:id>{85429570-3252-4819-ABAA-DC269FE0F1BD}</x14:id>
        </ext>
      </extLst>
    </cfRule>
  </conditionalFormatting>
  <conditionalFormatting sqref="D22:K22">
    <cfRule type="dataBar" priority="4">
      <dataBar>
        <cfvo type="num" val="0"/>
        <cfvo type="num" val="1"/>
        <color rgb="FF2F6FED"/>
      </dataBar>
      <extLst>
        <ext xmlns:x14="http://schemas.microsoft.com/office/spreadsheetml/2009/9/main" uri="{B025F937-C7B1-47D3-B67F-A62EFF666E3E}">
          <x14:id>{F5E3475B-9DD0-4995-BDA3-6DCF81206EA4}</x14:id>
        </ext>
      </extLst>
    </cfRule>
  </conditionalFormatting>
  <conditionalFormatting sqref="D24:K24">
    <cfRule type="dataBar" priority="5">
      <dataBar>
        <cfvo type="num" val="0"/>
        <cfvo type="num" val="1"/>
        <color rgb="FF2F6FED"/>
      </dataBar>
      <extLst>
        <ext xmlns:x14="http://schemas.microsoft.com/office/spreadsheetml/2009/9/main" uri="{B025F937-C7B1-47D3-B67F-A62EFF666E3E}">
          <x14:id>{FB70D2A9-972E-4358-A3DF-D9FA1CB4EE2E}</x14:id>
        </ext>
      </extLst>
    </cfRule>
  </conditionalFormatting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A4AB20-90F4-4E2D-A0E6-A1AF1D30CFFB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F6FED"/>
            </x14:dataBar>
          </x14:cfRule>
          <xm:sqref>D18:K18</xm:sqref>
        </x14:conditionalFormatting>
        <x14:conditionalFormatting xmlns:xm="http://schemas.microsoft.com/office/excel/2006/main">
          <x14:cfRule type="dataBar" id="{85429570-3252-4819-ABAA-DC269FE0F1B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F6FED"/>
            </x14:dataBar>
          </x14:cfRule>
          <xm:sqref>D20:K20</xm:sqref>
        </x14:conditionalFormatting>
        <x14:conditionalFormatting xmlns:xm="http://schemas.microsoft.com/office/excel/2006/main">
          <x14:cfRule type="dataBar" id="{F5E3475B-9DD0-4995-BDA3-6DCF81206EA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F6FED"/>
            </x14:dataBar>
          </x14:cfRule>
          <xm:sqref>D22:K22</xm:sqref>
        </x14:conditionalFormatting>
        <x14:conditionalFormatting xmlns:xm="http://schemas.microsoft.com/office/excel/2006/main">
          <x14:cfRule type="dataBar" id="{FB70D2A9-972E-4358-A3DF-D9FA1CB4EE2E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F6FED"/>
            </x14:dataBar>
          </x14:cfRule>
          <xm:sqref>D24:K24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6FED"/>
    <pageSetUpPr fitToPage="1"/>
  </sheetPr>
  <dimension ref="A1:M41"/>
  <sheetViews>
    <sheetView showGridLines="0" zoomScaleNormal="100" workbookViewId="0">
      <pane ySplit="4" topLeftCell="A5" activePane="bottomLeft" state="frozen"/>
      <selection pane="bottomLeft" activeCell="C5" sqref="C5"/>
    </sheetView>
  </sheetViews>
  <sheetFormatPr defaultColWidth="8.7109375" defaultRowHeight="15" x14ac:dyDescent="0.25"/>
  <cols>
    <col min="1" max="1" width="12" customWidth="1"/>
    <col min="2" max="2" width="18" customWidth="1"/>
    <col min="3" max="3" width="26" customWidth="1"/>
    <col min="4" max="4" width="10" customWidth="1"/>
    <col min="5" max="5" width="11" customWidth="1"/>
    <col min="6" max="6" width="12" customWidth="1"/>
    <col min="7" max="8" width="13" customWidth="1"/>
    <col min="9" max="9" width="11" customWidth="1"/>
    <col min="10" max="10" width="16" customWidth="1"/>
    <col min="11" max="11" width="11" customWidth="1"/>
    <col min="12" max="12" width="15" customWidth="1"/>
    <col min="13" max="13" width="24" customWidth="1"/>
  </cols>
  <sheetData>
    <row r="1" spans="1:13" ht="26.25" x14ac:dyDescent="0.4">
      <c r="A1" s="2" t="s">
        <v>37</v>
      </c>
    </row>
    <row r="2" spans="1:13" x14ac:dyDescent="0.25">
      <c r="A2" s="1" t="s">
        <v>38</v>
      </c>
    </row>
    <row r="4" spans="1:13" ht="25.5" x14ac:dyDescent="0.25">
      <c r="A4" s="9" t="s">
        <v>24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35</v>
      </c>
      <c r="J4" s="9" t="s">
        <v>46</v>
      </c>
      <c r="K4" s="9" t="s">
        <v>47</v>
      </c>
      <c r="L4" s="9" t="s">
        <v>48</v>
      </c>
      <c r="M4" s="9" t="s">
        <v>49</v>
      </c>
    </row>
    <row r="5" spans="1:13" x14ac:dyDescent="0.25">
      <c r="A5" s="10" t="s">
        <v>50</v>
      </c>
      <c r="B5" s="11" t="s">
        <v>51</v>
      </c>
      <c r="C5" s="11" t="s">
        <v>52</v>
      </c>
      <c r="D5" s="10" t="s">
        <v>53</v>
      </c>
      <c r="E5" s="12">
        <v>2</v>
      </c>
      <c r="F5" s="12">
        <v>1.5</v>
      </c>
      <c r="G5" s="10" t="s">
        <v>54</v>
      </c>
      <c r="H5" s="13">
        <v>46237</v>
      </c>
      <c r="I5" s="10" t="s">
        <v>55</v>
      </c>
      <c r="J5" s="11" t="s">
        <v>56</v>
      </c>
      <c r="K5" s="10" t="s">
        <v>57</v>
      </c>
      <c r="L5" s="10" t="s">
        <v>58</v>
      </c>
      <c r="M5" s="11" t="s">
        <v>59</v>
      </c>
    </row>
    <row r="6" spans="1:13" x14ac:dyDescent="0.25">
      <c r="A6" s="10" t="s">
        <v>50</v>
      </c>
      <c r="B6" s="11"/>
      <c r="C6" s="11"/>
      <c r="D6" s="10" t="s">
        <v>57</v>
      </c>
      <c r="E6" s="12"/>
      <c r="F6" s="12"/>
      <c r="G6" s="10" t="s">
        <v>60</v>
      </c>
      <c r="H6" s="13"/>
      <c r="I6" s="10" t="s">
        <v>55</v>
      </c>
      <c r="J6" s="11"/>
      <c r="K6" s="10"/>
      <c r="L6" s="10"/>
      <c r="M6" s="11"/>
    </row>
    <row r="7" spans="1:13" x14ac:dyDescent="0.25">
      <c r="A7" s="10" t="s">
        <v>50</v>
      </c>
      <c r="B7" s="11"/>
      <c r="C7" s="11"/>
      <c r="D7" s="10" t="s">
        <v>57</v>
      </c>
      <c r="E7" s="12"/>
      <c r="F7" s="12"/>
      <c r="G7" s="10" t="s">
        <v>60</v>
      </c>
      <c r="H7" s="13"/>
      <c r="I7" s="10" t="s">
        <v>55</v>
      </c>
      <c r="J7" s="11"/>
      <c r="K7" s="10"/>
      <c r="L7" s="10"/>
      <c r="M7" s="11"/>
    </row>
    <row r="8" spans="1:13" x14ac:dyDescent="0.25">
      <c r="A8" s="10" t="s">
        <v>50</v>
      </c>
      <c r="B8" s="11"/>
      <c r="C8" s="11"/>
      <c r="D8" s="10" t="s">
        <v>57</v>
      </c>
      <c r="E8" s="12"/>
      <c r="F8" s="12"/>
      <c r="G8" s="10" t="s">
        <v>60</v>
      </c>
      <c r="H8" s="13"/>
      <c r="I8" s="10" t="s">
        <v>55</v>
      </c>
      <c r="J8" s="11"/>
      <c r="K8" s="10"/>
      <c r="L8" s="10"/>
      <c r="M8" s="11"/>
    </row>
    <row r="9" spans="1:13" x14ac:dyDescent="0.25">
      <c r="A9" s="10" t="s">
        <v>61</v>
      </c>
      <c r="B9" s="11"/>
      <c r="C9" s="11"/>
      <c r="D9" s="10" t="s">
        <v>57</v>
      </c>
      <c r="E9" s="12"/>
      <c r="F9" s="12"/>
      <c r="G9" s="10" t="s">
        <v>60</v>
      </c>
      <c r="H9" s="13"/>
      <c r="I9" s="10" t="s">
        <v>55</v>
      </c>
      <c r="J9" s="11"/>
      <c r="K9" s="10"/>
      <c r="L9" s="10"/>
      <c r="M9" s="11"/>
    </row>
    <row r="10" spans="1:13" x14ac:dyDescent="0.25">
      <c r="A10" s="10" t="s">
        <v>61</v>
      </c>
      <c r="B10" s="11"/>
      <c r="C10" s="11"/>
      <c r="D10" s="10" t="s">
        <v>57</v>
      </c>
      <c r="E10" s="12"/>
      <c r="F10" s="12"/>
      <c r="G10" s="10" t="s">
        <v>60</v>
      </c>
      <c r="H10" s="13"/>
      <c r="I10" s="10" t="s">
        <v>55</v>
      </c>
      <c r="J10" s="11"/>
      <c r="K10" s="10"/>
      <c r="L10" s="10"/>
      <c r="M10" s="11"/>
    </row>
    <row r="11" spans="1:13" x14ac:dyDescent="0.25">
      <c r="A11" s="10" t="s">
        <v>61</v>
      </c>
      <c r="B11" s="11"/>
      <c r="C11" s="11"/>
      <c r="D11" s="10" t="s">
        <v>57</v>
      </c>
      <c r="E11" s="12"/>
      <c r="F11" s="12"/>
      <c r="G11" s="10" t="s">
        <v>60</v>
      </c>
      <c r="H11" s="13"/>
      <c r="I11" s="10" t="s">
        <v>55</v>
      </c>
      <c r="J11" s="11"/>
      <c r="K11" s="10"/>
      <c r="L11" s="10"/>
      <c r="M11" s="11"/>
    </row>
    <row r="12" spans="1:13" x14ac:dyDescent="0.25">
      <c r="A12" s="10" t="s">
        <v>61</v>
      </c>
      <c r="B12" s="11"/>
      <c r="C12" s="11"/>
      <c r="D12" s="10" t="s">
        <v>57</v>
      </c>
      <c r="E12" s="12"/>
      <c r="F12" s="12"/>
      <c r="G12" s="10" t="s">
        <v>60</v>
      </c>
      <c r="H12" s="13"/>
      <c r="I12" s="10" t="s">
        <v>55</v>
      </c>
      <c r="J12" s="11"/>
      <c r="K12" s="10"/>
      <c r="L12" s="10"/>
      <c r="M12" s="11"/>
    </row>
    <row r="13" spans="1:13" x14ac:dyDescent="0.25">
      <c r="A13" s="10" t="s">
        <v>62</v>
      </c>
      <c r="B13" s="11"/>
      <c r="C13" s="11"/>
      <c r="D13" s="10" t="s">
        <v>57</v>
      </c>
      <c r="E13" s="12"/>
      <c r="F13" s="12"/>
      <c r="G13" s="10" t="s">
        <v>60</v>
      </c>
      <c r="H13" s="13"/>
      <c r="I13" s="10" t="s">
        <v>55</v>
      </c>
      <c r="J13" s="11"/>
      <c r="K13" s="10"/>
      <c r="L13" s="10"/>
      <c r="M13" s="11"/>
    </row>
    <row r="14" spans="1:13" x14ac:dyDescent="0.25">
      <c r="A14" s="10" t="s">
        <v>62</v>
      </c>
      <c r="B14" s="11"/>
      <c r="C14" s="11"/>
      <c r="D14" s="10" t="s">
        <v>57</v>
      </c>
      <c r="E14" s="12"/>
      <c r="F14" s="12"/>
      <c r="G14" s="10" t="s">
        <v>60</v>
      </c>
      <c r="H14" s="13"/>
      <c r="I14" s="10" t="s">
        <v>55</v>
      </c>
      <c r="J14" s="11"/>
      <c r="K14" s="10"/>
      <c r="L14" s="10"/>
      <c r="M14" s="11"/>
    </row>
    <row r="15" spans="1:13" x14ac:dyDescent="0.25">
      <c r="A15" s="10" t="s">
        <v>62</v>
      </c>
      <c r="B15" s="11"/>
      <c r="C15" s="11"/>
      <c r="D15" s="10" t="s">
        <v>57</v>
      </c>
      <c r="E15" s="12"/>
      <c r="F15" s="12"/>
      <c r="G15" s="10" t="s">
        <v>60</v>
      </c>
      <c r="H15" s="13"/>
      <c r="I15" s="10" t="s">
        <v>55</v>
      </c>
      <c r="J15" s="11"/>
      <c r="K15" s="10"/>
      <c r="L15" s="10"/>
      <c r="M15" s="11"/>
    </row>
    <row r="16" spans="1:13" x14ac:dyDescent="0.25">
      <c r="A16" s="10" t="s">
        <v>62</v>
      </c>
      <c r="B16" s="11"/>
      <c r="C16" s="11"/>
      <c r="D16" s="10" t="s">
        <v>57</v>
      </c>
      <c r="E16" s="12"/>
      <c r="F16" s="12"/>
      <c r="G16" s="10" t="s">
        <v>60</v>
      </c>
      <c r="H16" s="13"/>
      <c r="I16" s="10" t="s">
        <v>55</v>
      </c>
      <c r="J16" s="11"/>
      <c r="K16" s="10"/>
      <c r="L16" s="10"/>
      <c r="M16" s="11"/>
    </row>
    <row r="17" spans="1:13" x14ac:dyDescent="0.25">
      <c r="A17" s="10" t="s">
        <v>63</v>
      </c>
      <c r="B17" s="11"/>
      <c r="C17" s="11"/>
      <c r="D17" s="10" t="s">
        <v>57</v>
      </c>
      <c r="E17" s="12"/>
      <c r="F17" s="12"/>
      <c r="G17" s="10" t="s">
        <v>60</v>
      </c>
      <c r="H17" s="13"/>
      <c r="I17" s="10" t="s">
        <v>55</v>
      </c>
      <c r="J17" s="11"/>
      <c r="K17" s="10"/>
      <c r="L17" s="10"/>
      <c r="M17" s="11"/>
    </row>
    <row r="18" spans="1:13" x14ac:dyDescent="0.25">
      <c r="A18" s="10" t="s">
        <v>63</v>
      </c>
      <c r="B18" s="11"/>
      <c r="C18" s="11"/>
      <c r="D18" s="10" t="s">
        <v>57</v>
      </c>
      <c r="E18" s="12"/>
      <c r="F18" s="12"/>
      <c r="G18" s="10" t="s">
        <v>60</v>
      </c>
      <c r="H18" s="13"/>
      <c r="I18" s="10" t="s">
        <v>55</v>
      </c>
      <c r="J18" s="11"/>
      <c r="K18" s="10"/>
      <c r="L18" s="10"/>
      <c r="M18" s="11"/>
    </row>
    <row r="19" spans="1:13" x14ac:dyDescent="0.25">
      <c r="A19" s="10" t="s">
        <v>63</v>
      </c>
      <c r="B19" s="11"/>
      <c r="C19" s="11"/>
      <c r="D19" s="10" t="s">
        <v>57</v>
      </c>
      <c r="E19" s="12"/>
      <c r="F19" s="12"/>
      <c r="G19" s="10" t="s">
        <v>60</v>
      </c>
      <c r="H19" s="13"/>
      <c r="I19" s="10" t="s">
        <v>55</v>
      </c>
      <c r="J19" s="11"/>
      <c r="K19" s="10"/>
      <c r="L19" s="10"/>
      <c r="M19" s="11"/>
    </row>
    <row r="20" spans="1:13" x14ac:dyDescent="0.25">
      <c r="A20" s="10" t="s">
        <v>63</v>
      </c>
      <c r="B20" s="11"/>
      <c r="C20" s="11"/>
      <c r="D20" s="10" t="s">
        <v>57</v>
      </c>
      <c r="E20" s="12"/>
      <c r="F20" s="12"/>
      <c r="G20" s="10" t="s">
        <v>60</v>
      </c>
      <c r="H20" s="13"/>
      <c r="I20" s="10" t="s">
        <v>55</v>
      </c>
      <c r="J20" s="11"/>
      <c r="K20" s="10"/>
      <c r="L20" s="10"/>
      <c r="M20" s="11"/>
    </row>
    <row r="21" spans="1:13" x14ac:dyDescent="0.25">
      <c r="A21" s="10" t="s">
        <v>64</v>
      </c>
      <c r="B21" s="11"/>
      <c r="C21" s="11"/>
      <c r="D21" s="10" t="s">
        <v>57</v>
      </c>
      <c r="E21" s="12"/>
      <c r="F21" s="12"/>
      <c r="G21" s="10" t="s">
        <v>60</v>
      </c>
      <c r="H21" s="13"/>
      <c r="I21" s="10" t="s">
        <v>55</v>
      </c>
      <c r="J21" s="11"/>
      <c r="K21" s="10"/>
      <c r="L21" s="10"/>
      <c r="M21" s="11"/>
    </row>
    <row r="22" spans="1:13" x14ac:dyDescent="0.25">
      <c r="A22" s="10" t="s">
        <v>64</v>
      </c>
      <c r="B22" s="11"/>
      <c r="C22" s="11"/>
      <c r="D22" s="10" t="s">
        <v>57</v>
      </c>
      <c r="E22" s="12"/>
      <c r="F22" s="12"/>
      <c r="G22" s="10" t="s">
        <v>60</v>
      </c>
      <c r="H22" s="13"/>
      <c r="I22" s="10" t="s">
        <v>55</v>
      </c>
      <c r="J22" s="11"/>
      <c r="K22" s="10"/>
      <c r="L22" s="10"/>
      <c r="M22" s="11"/>
    </row>
    <row r="23" spans="1:13" x14ac:dyDescent="0.25">
      <c r="A23" s="10" t="s">
        <v>64</v>
      </c>
      <c r="B23" s="11"/>
      <c r="C23" s="11"/>
      <c r="D23" s="10" t="s">
        <v>57</v>
      </c>
      <c r="E23" s="12"/>
      <c r="F23" s="12"/>
      <c r="G23" s="10" t="s">
        <v>60</v>
      </c>
      <c r="H23" s="13"/>
      <c r="I23" s="10" t="s">
        <v>55</v>
      </c>
      <c r="J23" s="11"/>
      <c r="K23" s="10"/>
      <c r="L23" s="10"/>
      <c r="M23" s="11"/>
    </row>
    <row r="24" spans="1:13" x14ac:dyDescent="0.25">
      <c r="A24" s="10" t="s">
        <v>64</v>
      </c>
      <c r="B24" s="11"/>
      <c r="C24" s="11"/>
      <c r="D24" s="10" t="s">
        <v>57</v>
      </c>
      <c r="E24" s="12"/>
      <c r="F24" s="12"/>
      <c r="G24" s="10" t="s">
        <v>60</v>
      </c>
      <c r="H24" s="13"/>
      <c r="I24" s="10" t="s">
        <v>55</v>
      </c>
      <c r="J24" s="11"/>
      <c r="K24" s="10"/>
      <c r="L24" s="10"/>
      <c r="M24" s="11"/>
    </row>
    <row r="25" spans="1:13" x14ac:dyDescent="0.25">
      <c r="A25" s="10" t="s">
        <v>65</v>
      </c>
      <c r="B25" s="11"/>
      <c r="C25" s="11"/>
      <c r="D25" s="10" t="s">
        <v>57</v>
      </c>
      <c r="E25" s="12"/>
      <c r="F25" s="12"/>
      <c r="G25" s="10" t="s">
        <v>60</v>
      </c>
      <c r="H25" s="13"/>
      <c r="I25" s="10" t="s">
        <v>55</v>
      </c>
      <c r="J25" s="11"/>
      <c r="K25" s="10"/>
      <c r="L25" s="10"/>
      <c r="M25" s="11"/>
    </row>
    <row r="26" spans="1:13" x14ac:dyDescent="0.25">
      <c r="A26" s="10" t="s">
        <v>65</v>
      </c>
      <c r="B26" s="11"/>
      <c r="C26" s="11"/>
      <c r="D26" s="10" t="s">
        <v>57</v>
      </c>
      <c r="E26" s="12"/>
      <c r="F26" s="12"/>
      <c r="G26" s="10" t="s">
        <v>60</v>
      </c>
      <c r="H26" s="13"/>
      <c r="I26" s="10" t="s">
        <v>55</v>
      </c>
      <c r="J26" s="11"/>
      <c r="K26" s="10"/>
      <c r="L26" s="10"/>
      <c r="M26" s="11"/>
    </row>
    <row r="27" spans="1:13" x14ac:dyDescent="0.25">
      <c r="A27" s="10" t="s">
        <v>65</v>
      </c>
      <c r="B27" s="11"/>
      <c r="C27" s="11"/>
      <c r="D27" s="10" t="s">
        <v>57</v>
      </c>
      <c r="E27" s="12"/>
      <c r="F27" s="12"/>
      <c r="G27" s="10" t="s">
        <v>60</v>
      </c>
      <c r="H27" s="13"/>
      <c r="I27" s="10" t="s">
        <v>55</v>
      </c>
      <c r="J27" s="11"/>
      <c r="K27" s="10"/>
      <c r="L27" s="10"/>
      <c r="M27" s="11"/>
    </row>
    <row r="28" spans="1:13" x14ac:dyDescent="0.25">
      <c r="A28" s="10" t="s">
        <v>65</v>
      </c>
      <c r="B28" s="11"/>
      <c r="C28" s="11"/>
      <c r="D28" s="10" t="s">
        <v>57</v>
      </c>
      <c r="E28" s="12"/>
      <c r="F28" s="12"/>
      <c r="G28" s="10" t="s">
        <v>60</v>
      </c>
      <c r="H28" s="13"/>
      <c r="I28" s="10" t="s">
        <v>55</v>
      </c>
      <c r="J28" s="11"/>
      <c r="K28" s="10"/>
      <c r="L28" s="10"/>
      <c r="M28" s="11"/>
    </row>
    <row r="29" spans="1:13" x14ac:dyDescent="0.25">
      <c r="A29" s="10" t="s">
        <v>66</v>
      </c>
      <c r="B29" s="11"/>
      <c r="C29" s="11"/>
      <c r="D29" s="10" t="s">
        <v>57</v>
      </c>
      <c r="E29" s="12"/>
      <c r="F29" s="12"/>
      <c r="G29" s="10" t="s">
        <v>60</v>
      </c>
      <c r="H29" s="13"/>
      <c r="I29" s="10" t="s">
        <v>55</v>
      </c>
      <c r="J29" s="11"/>
      <c r="K29" s="10"/>
      <c r="L29" s="10"/>
      <c r="M29" s="11"/>
    </row>
    <row r="30" spans="1:13" x14ac:dyDescent="0.25">
      <c r="A30" s="10" t="s">
        <v>66</v>
      </c>
      <c r="B30" s="11"/>
      <c r="C30" s="11"/>
      <c r="D30" s="10" t="s">
        <v>57</v>
      </c>
      <c r="E30" s="12"/>
      <c r="F30" s="12"/>
      <c r="G30" s="10" t="s">
        <v>60</v>
      </c>
      <c r="H30" s="13"/>
      <c r="I30" s="10" t="s">
        <v>55</v>
      </c>
      <c r="J30" s="11"/>
      <c r="K30" s="10"/>
      <c r="L30" s="10"/>
      <c r="M30" s="11"/>
    </row>
    <row r="31" spans="1:13" x14ac:dyDescent="0.25">
      <c r="A31" s="10" t="s">
        <v>66</v>
      </c>
      <c r="B31" s="11"/>
      <c r="C31" s="11"/>
      <c r="D31" s="10" t="s">
        <v>57</v>
      </c>
      <c r="E31" s="12"/>
      <c r="F31" s="12"/>
      <c r="G31" s="10" t="s">
        <v>60</v>
      </c>
      <c r="H31" s="13"/>
      <c r="I31" s="10" t="s">
        <v>55</v>
      </c>
      <c r="J31" s="11"/>
      <c r="K31" s="10"/>
      <c r="L31" s="10"/>
      <c r="M31" s="11"/>
    </row>
    <row r="32" spans="1:13" x14ac:dyDescent="0.25">
      <c r="A32" s="10" t="s">
        <v>66</v>
      </c>
      <c r="B32" s="11"/>
      <c r="C32" s="11"/>
      <c r="D32" s="10" t="s">
        <v>57</v>
      </c>
      <c r="E32" s="12"/>
      <c r="F32" s="12"/>
      <c r="G32" s="10" t="s">
        <v>60</v>
      </c>
      <c r="H32" s="13"/>
      <c r="I32" s="10" t="s">
        <v>55</v>
      </c>
      <c r="J32" s="11"/>
      <c r="K32" s="10"/>
      <c r="L32" s="10"/>
      <c r="M32" s="11"/>
    </row>
    <row r="35" spans="1:2" x14ac:dyDescent="0.25">
      <c r="A35" s="3" t="s">
        <v>67</v>
      </c>
    </row>
    <row r="36" spans="1:2" x14ac:dyDescent="0.25">
      <c r="A36" s="4" t="s">
        <v>68</v>
      </c>
      <c r="B36" s="14">
        <f>COUNTA(A5:A32)</f>
        <v>28</v>
      </c>
    </row>
    <row r="37" spans="1:2" x14ac:dyDescent="0.25">
      <c r="A37" s="4" t="s">
        <v>11</v>
      </c>
      <c r="B37" s="14">
        <f>COUNTIF(I5:I32,"Yes")</f>
        <v>0</v>
      </c>
    </row>
    <row r="38" spans="1:2" x14ac:dyDescent="0.25">
      <c r="A38" s="4" t="s">
        <v>12</v>
      </c>
      <c r="B38" s="14">
        <f>B36-B37</f>
        <v>28</v>
      </c>
    </row>
    <row r="39" spans="1:2" x14ac:dyDescent="0.25">
      <c r="A39" s="4" t="s">
        <v>69</v>
      </c>
      <c r="B39" s="15">
        <f>IFERROR(B37/B36,0)</f>
        <v>0</v>
      </c>
    </row>
    <row r="40" spans="1:2" x14ac:dyDescent="0.25">
      <c r="A40" s="4" t="s">
        <v>70</v>
      </c>
      <c r="B40" s="14">
        <f>SUM(E5:E32)</f>
        <v>2</v>
      </c>
    </row>
    <row r="41" spans="1:2" x14ac:dyDescent="0.25">
      <c r="A41" s="4" t="s">
        <v>71</v>
      </c>
      <c r="B41" s="14">
        <f>SUM(F5:F32)</f>
        <v>1.5</v>
      </c>
    </row>
  </sheetData>
  <conditionalFormatting sqref="A5:M32">
    <cfRule type="expression" dxfId="10" priority="2">
      <formula>$I5="Yes"</formula>
    </cfRule>
  </conditionalFormatting>
  <conditionalFormatting sqref="C5:C32">
    <cfRule type="expression" dxfId="9" priority="3">
      <formula>$I5="Yes"</formula>
    </cfRule>
  </conditionalFormatting>
  <conditionalFormatting sqref="D5:D32">
    <cfRule type="cellIs" dxfId="8" priority="4" operator="equal">
      <formula>"High"</formula>
    </cfRule>
    <cfRule type="cellIs" dxfId="7" priority="5" operator="equal">
      <formula>"Medium"</formula>
    </cfRule>
    <cfRule type="cellIs" dxfId="6" priority="6" operator="equal">
      <formula>"Low"</formula>
    </cfRule>
  </conditionalFormatting>
  <conditionalFormatting sqref="G5:G32">
    <cfRule type="cellIs" dxfId="5" priority="7" operator="equal">
      <formula>"Completed"</formula>
    </cfRule>
    <cfRule type="cellIs" dxfId="4" priority="8" operator="equal">
      <formula>"Postponed"</formula>
    </cfRule>
    <cfRule type="cellIs" dxfId="3" priority="9" operator="equal">
      <formula>"Cancelled"</formula>
    </cfRule>
  </conditionalFormatting>
  <dataValidations count="6">
    <dataValidation type="list" allowBlank="1" sqref="A5:A32" xr:uid="{00000000-0002-0000-0100-000000000000}">
      <formula1>DayList</formula1>
      <formula2>0</formula2>
    </dataValidation>
    <dataValidation type="list" allowBlank="1" sqref="D5:D32" xr:uid="{00000000-0002-0000-0100-000001000000}">
      <formula1>PriorityList</formula1>
      <formula2>0</formula2>
    </dataValidation>
    <dataValidation type="list" allowBlank="1" sqref="G5:G32" xr:uid="{00000000-0002-0000-0100-000002000000}">
      <formula1>StatusList</formula1>
      <formula2>0</formula2>
    </dataValidation>
    <dataValidation type="list" allowBlank="1" sqref="I5:I32 L5:L32" xr:uid="{00000000-0002-0000-0100-000003000000}">
      <formula1>YesNoList</formula1>
      <formula2>0</formula2>
    </dataValidation>
    <dataValidation type="list" allowBlank="1" sqref="B5:B32" xr:uid="{00000000-0002-0000-0100-000004000000}">
      <formula1>SubjectList</formula1>
      <formula2>0</formula2>
    </dataValidation>
    <dataValidation type="list" allowBlank="1" sqref="K5:K32" xr:uid="{00000000-0002-0000-0100-000005000000}">
      <formula1>"Easy,Medium,Hard"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6FED"/>
    <pageSetUpPr fitToPage="1"/>
  </sheetPr>
  <dimension ref="A1:N49"/>
  <sheetViews>
    <sheetView showGridLines="0" tabSelected="1" zoomScaleNormal="100" workbookViewId="0">
      <pane ySplit="4" topLeftCell="A17" activePane="bottomLeft" state="frozen"/>
      <selection pane="bottomLeft" activeCell="E5" sqref="E5"/>
    </sheetView>
  </sheetViews>
  <sheetFormatPr defaultColWidth="8.7109375" defaultRowHeight="15" x14ac:dyDescent="0.25"/>
  <cols>
    <col min="1" max="1" width="12" customWidth="1"/>
    <col min="2" max="3" width="10" customWidth="1"/>
    <col min="4" max="4" width="12" customWidth="1"/>
    <col min="5" max="6" width="18" customWidth="1"/>
    <col min="7" max="7" width="14" customWidth="1"/>
    <col min="8" max="8" width="10" customWidth="1"/>
    <col min="9" max="12" width="11" customWidth="1"/>
    <col min="13" max="13" width="13" customWidth="1"/>
    <col min="14" max="14" width="22" customWidth="1"/>
  </cols>
  <sheetData>
    <row r="1" spans="1:14" ht="26.25" x14ac:dyDescent="0.4">
      <c r="A1" s="2" t="s">
        <v>72</v>
      </c>
    </row>
    <row r="2" spans="1:14" x14ac:dyDescent="0.25">
      <c r="A2" s="1" t="s">
        <v>73</v>
      </c>
    </row>
    <row r="4" spans="1:14" ht="38.25" x14ac:dyDescent="0.25">
      <c r="A4" s="9" t="s">
        <v>74</v>
      </c>
      <c r="B4" s="9" t="s">
        <v>75</v>
      </c>
      <c r="C4" s="9" t="s">
        <v>76</v>
      </c>
      <c r="D4" s="9" t="s">
        <v>77</v>
      </c>
      <c r="E4" s="9" t="s">
        <v>39</v>
      </c>
      <c r="F4" s="9" t="s">
        <v>46</v>
      </c>
      <c r="G4" s="9" t="s">
        <v>78</v>
      </c>
      <c r="H4" s="9" t="s">
        <v>79</v>
      </c>
      <c r="I4" s="9" t="s">
        <v>80</v>
      </c>
      <c r="J4" s="9" t="s">
        <v>81</v>
      </c>
      <c r="K4" s="9" t="s">
        <v>82</v>
      </c>
      <c r="L4" s="9" t="s">
        <v>83</v>
      </c>
      <c r="M4" s="9" t="s">
        <v>84</v>
      </c>
      <c r="N4" s="9" t="s">
        <v>49</v>
      </c>
    </row>
    <row r="5" spans="1:14" x14ac:dyDescent="0.25">
      <c r="A5" s="13">
        <v>46237</v>
      </c>
      <c r="B5" s="16"/>
      <c r="C5" s="16"/>
      <c r="D5" s="17">
        <f t="shared" ref="D5:D39" si="0">IFERROR((C5-B5)*24,0)</f>
        <v>0</v>
      </c>
      <c r="E5" s="11"/>
      <c r="F5" s="11"/>
      <c r="G5" s="10"/>
      <c r="H5" s="10"/>
      <c r="I5" s="10"/>
      <c r="J5" s="10"/>
      <c r="K5" s="10"/>
      <c r="L5" s="10"/>
      <c r="M5" s="10"/>
      <c r="N5" s="11"/>
    </row>
    <row r="6" spans="1:14" x14ac:dyDescent="0.25">
      <c r="A6" s="13">
        <v>46237</v>
      </c>
      <c r="B6" s="16"/>
      <c r="C6" s="16"/>
      <c r="D6" s="17">
        <f t="shared" si="0"/>
        <v>0</v>
      </c>
      <c r="E6" s="11"/>
      <c r="F6" s="11"/>
      <c r="G6" s="10"/>
      <c r="H6" s="10"/>
      <c r="I6" s="10"/>
      <c r="J6" s="10"/>
      <c r="K6" s="10"/>
      <c r="L6" s="10"/>
      <c r="M6" s="10"/>
      <c r="N6" s="11"/>
    </row>
    <row r="7" spans="1:14" x14ac:dyDescent="0.25">
      <c r="A7" s="13">
        <v>46237</v>
      </c>
      <c r="B7" s="16"/>
      <c r="C7" s="16"/>
      <c r="D7" s="17">
        <f t="shared" si="0"/>
        <v>0</v>
      </c>
      <c r="E7" s="11"/>
      <c r="F7" s="11"/>
      <c r="G7" s="10"/>
      <c r="H7" s="10"/>
      <c r="I7" s="10"/>
      <c r="J7" s="10"/>
      <c r="K7" s="10"/>
      <c r="L7" s="10"/>
      <c r="M7" s="10"/>
      <c r="N7" s="11"/>
    </row>
    <row r="8" spans="1:14" x14ac:dyDescent="0.25">
      <c r="A8" s="13">
        <v>46237</v>
      </c>
      <c r="B8" s="16"/>
      <c r="C8" s="16"/>
      <c r="D8" s="17">
        <f t="shared" si="0"/>
        <v>0</v>
      </c>
      <c r="E8" s="11"/>
      <c r="F8" s="11"/>
      <c r="G8" s="10"/>
      <c r="H8" s="10"/>
      <c r="I8" s="10"/>
      <c r="J8" s="10"/>
      <c r="K8" s="10"/>
      <c r="L8" s="10"/>
      <c r="M8" s="10"/>
      <c r="N8" s="11"/>
    </row>
    <row r="9" spans="1:14" x14ac:dyDescent="0.25">
      <c r="A9" s="13">
        <v>46237</v>
      </c>
      <c r="B9" s="16"/>
      <c r="C9" s="16"/>
      <c r="D9" s="17">
        <f t="shared" si="0"/>
        <v>0</v>
      </c>
      <c r="E9" s="11"/>
      <c r="F9" s="11"/>
      <c r="G9" s="10"/>
      <c r="H9" s="10"/>
      <c r="I9" s="10"/>
      <c r="J9" s="10"/>
      <c r="K9" s="10"/>
      <c r="L9" s="10"/>
      <c r="M9" s="10"/>
      <c r="N9" s="11"/>
    </row>
    <row r="10" spans="1:14" x14ac:dyDescent="0.25">
      <c r="A10" s="13">
        <v>46238</v>
      </c>
      <c r="B10" s="16"/>
      <c r="C10" s="16"/>
      <c r="D10" s="17">
        <f t="shared" si="0"/>
        <v>0</v>
      </c>
      <c r="E10" s="11"/>
      <c r="F10" s="11"/>
      <c r="G10" s="10"/>
      <c r="H10" s="10"/>
      <c r="I10" s="10"/>
      <c r="J10" s="10"/>
      <c r="K10" s="10"/>
      <c r="L10" s="10"/>
      <c r="M10" s="10"/>
      <c r="N10" s="11"/>
    </row>
    <row r="11" spans="1:14" x14ac:dyDescent="0.25">
      <c r="A11" s="13">
        <v>46238</v>
      </c>
      <c r="B11" s="16"/>
      <c r="C11" s="16"/>
      <c r="D11" s="17">
        <f t="shared" si="0"/>
        <v>0</v>
      </c>
      <c r="E11" s="11"/>
      <c r="F11" s="11"/>
      <c r="G11" s="10"/>
      <c r="H11" s="10"/>
      <c r="I11" s="10"/>
      <c r="J11" s="10"/>
      <c r="K11" s="10"/>
      <c r="L11" s="10"/>
      <c r="M11" s="10"/>
      <c r="N11" s="11"/>
    </row>
    <row r="12" spans="1:14" x14ac:dyDescent="0.25">
      <c r="A12" s="13">
        <v>46238</v>
      </c>
      <c r="B12" s="16"/>
      <c r="C12" s="16"/>
      <c r="D12" s="17">
        <f t="shared" si="0"/>
        <v>0</v>
      </c>
      <c r="E12" s="11"/>
      <c r="F12" s="11"/>
      <c r="G12" s="10"/>
      <c r="H12" s="10"/>
      <c r="I12" s="10"/>
      <c r="J12" s="10"/>
      <c r="K12" s="10"/>
      <c r="L12" s="10"/>
      <c r="M12" s="10"/>
      <c r="N12" s="11"/>
    </row>
    <row r="13" spans="1:14" x14ac:dyDescent="0.25">
      <c r="A13" s="13">
        <v>46238</v>
      </c>
      <c r="B13" s="16"/>
      <c r="C13" s="16"/>
      <c r="D13" s="17">
        <f t="shared" si="0"/>
        <v>0</v>
      </c>
      <c r="E13" s="11"/>
      <c r="F13" s="11"/>
      <c r="G13" s="10"/>
      <c r="H13" s="10"/>
      <c r="I13" s="10"/>
      <c r="J13" s="10"/>
      <c r="K13" s="10"/>
      <c r="L13" s="10"/>
      <c r="M13" s="10"/>
      <c r="N13" s="11"/>
    </row>
    <row r="14" spans="1:14" x14ac:dyDescent="0.25">
      <c r="A14" s="13">
        <v>46238</v>
      </c>
      <c r="B14" s="16"/>
      <c r="C14" s="16"/>
      <c r="D14" s="17">
        <f t="shared" si="0"/>
        <v>0</v>
      </c>
      <c r="E14" s="11"/>
      <c r="F14" s="11"/>
      <c r="G14" s="10"/>
      <c r="H14" s="10"/>
      <c r="I14" s="10"/>
      <c r="J14" s="10"/>
      <c r="K14" s="10"/>
      <c r="L14" s="10"/>
      <c r="M14" s="10"/>
      <c r="N14" s="11"/>
    </row>
    <row r="15" spans="1:14" x14ac:dyDescent="0.25">
      <c r="A15" s="13">
        <v>46239</v>
      </c>
      <c r="B15" s="16"/>
      <c r="C15" s="16"/>
      <c r="D15" s="17">
        <f t="shared" si="0"/>
        <v>0</v>
      </c>
      <c r="E15" s="11"/>
      <c r="F15" s="11"/>
      <c r="G15" s="10"/>
      <c r="H15" s="10"/>
      <c r="I15" s="10"/>
      <c r="J15" s="10"/>
      <c r="K15" s="10"/>
      <c r="L15" s="10"/>
      <c r="M15" s="10"/>
      <c r="N15" s="11"/>
    </row>
    <row r="16" spans="1:14" x14ac:dyDescent="0.25">
      <c r="A16" s="13">
        <v>46239</v>
      </c>
      <c r="B16" s="16"/>
      <c r="C16" s="16"/>
      <c r="D16" s="17">
        <f t="shared" si="0"/>
        <v>0</v>
      </c>
      <c r="E16" s="11"/>
      <c r="F16" s="11"/>
      <c r="G16" s="10"/>
      <c r="H16" s="10"/>
      <c r="I16" s="10"/>
      <c r="J16" s="10"/>
      <c r="K16" s="10"/>
      <c r="L16" s="10"/>
      <c r="M16" s="10"/>
      <c r="N16" s="11"/>
    </row>
    <row r="17" spans="1:14" x14ac:dyDescent="0.25">
      <c r="A17" s="13">
        <v>46239</v>
      </c>
      <c r="B17" s="16"/>
      <c r="C17" s="16"/>
      <c r="D17" s="17">
        <f t="shared" si="0"/>
        <v>0</v>
      </c>
      <c r="E17" s="11"/>
      <c r="F17" s="11"/>
      <c r="G17" s="10"/>
      <c r="H17" s="10"/>
      <c r="I17" s="10"/>
      <c r="J17" s="10"/>
      <c r="K17" s="10"/>
      <c r="L17" s="10"/>
      <c r="M17" s="10"/>
      <c r="N17" s="11"/>
    </row>
    <row r="18" spans="1:14" x14ac:dyDescent="0.25">
      <c r="A18" s="13">
        <v>46239</v>
      </c>
      <c r="B18" s="16"/>
      <c r="C18" s="16"/>
      <c r="D18" s="17">
        <f t="shared" si="0"/>
        <v>0</v>
      </c>
      <c r="E18" s="11"/>
      <c r="F18" s="11"/>
      <c r="G18" s="10"/>
      <c r="H18" s="10"/>
      <c r="I18" s="10"/>
      <c r="J18" s="10"/>
      <c r="K18" s="10"/>
      <c r="L18" s="10"/>
      <c r="M18" s="10"/>
      <c r="N18" s="11"/>
    </row>
    <row r="19" spans="1:14" x14ac:dyDescent="0.25">
      <c r="A19" s="13">
        <v>46239</v>
      </c>
      <c r="B19" s="16"/>
      <c r="C19" s="16"/>
      <c r="D19" s="17">
        <f t="shared" si="0"/>
        <v>0</v>
      </c>
      <c r="E19" s="11"/>
      <c r="F19" s="11"/>
      <c r="G19" s="10"/>
      <c r="H19" s="10"/>
      <c r="I19" s="10"/>
      <c r="J19" s="10"/>
      <c r="K19" s="10"/>
      <c r="L19" s="10"/>
      <c r="M19" s="10"/>
      <c r="N19" s="11"/>
    </row>
    <row r="20" spans="1:14" x14ac:dyDescent="0.25">
      <c r="A20" s="13">
        <v>46240</v>
      </c>
      <c r="B20" s="16"/>
      <c r="C20" s="16"/>
      <c r="D20" s="17">
        <f t="shared" si="0"/>
        <v>0</v>
      </c>
      <c r="E20" s="11"/>
      <c r="F20" s="11"/>
      <c r="G20" s="10"/>
      <c r="H20" s="10"/>
      <c r="I20" s="10"/>
      <c r="J20" s="10"/>
      <c r="K20" s="10"/>
      <c r="L20" s="10"/>
      <c r="M20" s="10"/>
      <c r="N20" s="11"/>
    </row>
    <row r="21" spans="1:14" x14ac:dyDescent="0.25">
      <c r="A21" s="13">
        <v>46240</v>
      </c>
      <c r="B21" s="16"/>
      <c r="C21" s="16"/>
      <c r="D21" s="17">
        <f t="shared" si="0"/>
        <v>0</v>
      </c>
      <c r="E21" s="11"/>
      <c r="F21" s="11"/>
      <c r="G21" s="10"/>
      <c r="H21" s="10"/>
      <c r="I21" s="10"/>
      <c r="J21" s="10"/>
      <c r="K21" s="10"/>
      <c r="L21" s="10"/>
      <c r="M21" s="10"/>
      <c r="N21" s="11"/>
    </row>
    <row r="22" spans="1:14" x14ac:dyDescent="0.25">
      <c r="A22" s="13">
        <v>46240</v>
      </c>
      <c r="B22" s="16"/>
      <c r="C22" s="16"/>
      <c r="D22" s="17">
        <f t="shared" si="0"/>
        <v>0</v>
      </c>
      <c r="E22" s="11"/>
      <c r="F22" s="11"/>
      <c r="G22" s="10"/>
      <c r="H22" s="10"/>
      <c r="I22" s="10"/>
      <c r="J22" s="10"/>
      <c r="K22" s="10"/>
      <c r="L22" s="10"/>
      <c r="M22" s="10"/>
      <c r="N22" s="11"/>
    </row>
    <row r="23" spans="1:14" x14ac:dyDescent="0.25">
      <c r="A23" s="13">
        <v>46240</v>
      </c>
      <c r="B23" s="16"/>
      <c r="C23" s="16"/>
      <c r="D23" s="17">
        <f t="shared" si="0"/>
        <v>0</v>
      </c>
      <c r="E23" s="11"/>
      <c r="F23" s="11"/>
      <c r="G23" s="10"/>
      <c r="H23" s="10"/>
      <c r="I23" s="10"/>
      <c r="J23" s="10"/>
      <c r="K23" s="10"/>
      <c r="L23" s="10"/>
      <c r="M23" s="10"/>
      <c r="N23" s="11"/>
    </row>
    <row r="24" spans="1:14" x14ac:dyDescent="0.25">
      <c r="A24" s="13">
        <v>46240</v>
      </c>
      <c r="B24" s="16"/>
      <c r="C24" s="16"/>
      <c r="D24" s="17">
        <f t="shared" si="0"/>
        <v>0</v>
      </c>
      <c r="E24" s="11"/>
      <c r="F24" s="11"/>
      <c r="G24" s="10"/>
      <c r="H24" s="10"/>
      <c r="I24" s="10"/>
      <c r="J24" s="10"/>
      <c r="K24" s="10"/>
      <c r="L24" s="10"/>
      <c r="M24" s="10"/>
      <c r="N24" s="11"/>
    </row>
    <row r="25" spans="1:14" x14ac:dyDescent="0.25">
      <c r="A25" s="13">
        <v>46241</v>
      </c>
      <c r="B25" s="16"/>
      <c r="C25" s="16"/>
      <c r="D25" s="17">
        <f t="shared" si="0"/>
        <v>0</v>
      </c>
      <c r="E25" s="11"/>
      <c r="F25" s="11"/>
      <c r="G25" s="10"/>
      <c r="H25" s="10"/>
      <c r="I25" s="10"/>
      <c r="J25" s="10"/>
      <c r="K25" s="10"/>
      <c r="L25" s="10"/>
      <c r="M25" s="10"/>
      <c r="N25" s="11"/>
    </row>
    <row r="26" spans="1:14" x14ac:dyDescent="0.25">
      <c r="A26" s="13">
        <v>46241</v>
      </c>
      <c r="B26" s="16"/>
      <c r="C26" s="16"/>
      <c r="D26" s="17">
        <f t="shared" si="0"/>
        <v>0</v>
      </c>
      <c r="E26" s="11"/>
      <c r="F26" s="11"/>
      <c r="G26" s="10"/>
      <c r="H26" s="10"/>
      <c r="I26" s="10"/>
      <c r="J26" s="10"/>
      <c r="K26" s="10"/>
      <c r="L26" s="10"/>
      <c r="M26" s="10"/>
      <c r="N26" s="11"/>
    </row>
    <row r="27" spans="1:14" x14ac:dyDescent="0.25">
      <c r="A27" s="13">
        <v>46241</v>
      </c>
      <c r="B27" s="16"/>
      <c r="C27" s="16"/>
      <c r="D27" s="17">
        <f t="shared" si="0"/>
        <v>0</v>
      </c>
      <c r="E27" s="11"/>
      <c r="F27" s="11"/>
      <c r="G27" s="10"/>
      <c r="H27" s="10"/>
      <c r="I27" s="10"/>
      <c r="J27" s="10"/>
      <c r="K27" s="10"/>
      <c r="L27" s="10"/>
      <c r="M27" s="10"/>
      <c r="N27" s="11"/>
    </row>
    <row r="28" spans="1:14" x14ac:dyDescent="0.25">
      <c r="A28" s="13">
        <v>46241</v>
      </c>
      <c r="B28" s="16"/>
      <c r="C28" s="16"/>
      <c r="D28" s="17">
        <f t="shared" si="0"/>
        <v>0</v>
      </c>
      <c r="E28" s="11"/>
      <c r="F28" s="11"/>
      <c r="G28" s="10"/>
      <c r="H28" s="10"/>
      <c r="I28" s="10"/>
      <c r="J28" s="10"/>
      <c r="K28" s="10"/>
      <c r="L28" s="10"/>
      <c r="M28" s="10"/>
      <c r="N28" s="11"/>
    </row>
    <row r="29" spans="1:14" x14ac:dyDescent="0.25">
      <c r="A29" s="13">
        <v>46241</v>
      </c>
      <c r="B29" s="16"/>
      <c r="C29" s="16"/>
      <c r="D29" s="17">
        <f t="shared" si="0"/>
        <v>0</v>
      </c>
      <c r="E29" s="11"/>
      <c r="F29" s="11"/>
      <c r="G29" s="10"/>
      <c r="H29" s="10"/>
      <c r="I29" s="10"/>
      <c r="J29" s="10"/>
      <c r="K29" s="10"/>
      <c r="L29" s="10"/>
      <c r="M29" s="10"/>
      <c r="N29" s="11"/>
    </row>
    <row r="30" spans="1:14" x14ac:dyDescent="0.25">
      <c r="A30" s="13">
        <v>46242</v>
      </c>
      <c r="B30" s="16"/>
      <c r="C30" s="16"/>
      <c r="D30" s="17">
        <f t="shared" si="0"/>
        <v>0</v>
      </c>
      <c r="E30" s="11"/>
      <c r="F30" s="11"/>
      <c r="G30" s="10"/>
      <c r="H30" s="10"/>
      <c r="I30" s="10"/>
      <c r="J30" s="10"/>
      <c r="K30" s="10"/>
      <c r="L30" s="10"/>
      <c r="M30" s="10"/>
      <c r="N30" s="11"/>
    </row>
    <row r="31" spans="1:14" x14ac:dyDescent="0.25">
      <c r="A31" s="13">
        <v>46242</v>
      </c>
      <c r="B31" s="16"/>
      <c r="C31" s="16"/>
      <c r="D31" s="17">
        <f t="shared" si="0"/>
        <v>0</v>
      </c>
      <c r="E31" s="11"/>
      <c r="F31" s="11"/>
      <c r="G31" s="10"/>
      <c r="H31" s="10"/>
      <c r="I31" s="10"/>
      <c r="J31" s="10"/>
      <c r="K31" s="10"/>
      <c r="L31" s="10"/>
      <c r="M31" s="10"/>
      <c r="N31" s="11"/>
    </row>
    <row r="32" spans="1:14" x14ac:dyDescent="0.25">
      <c r="A32" s="13">
        <v>46242</v>
      </c>
      <c r="B32" s="16"/>
      <c r="C32" s="16"/>
      <c r="D32" s="17">
        <f t="shared" si="0"/>
        <v>0</v>
      </c>
      <c r="E32" s="11"/>
      <c r="F32" s="11"/>
      <c r="G32" s="10"/>
      <c r="H32" s="10"/>
      <c r="I32" s="10"/>
      <c r="J32" s="10"/>
      <c r="K32" s="10"/>
      <c r="L32" s="10"/>
      <c r="M32" s="10"/>
      <c r="N32" s="11"/>
    </row>
    <row r="33" spans="1:14" x14ac:dyDescent="0.25">
      <c r="A33" s="13">
        <v>46242</v>
      </c>
      <c r="B33" s="16"/>
      <c r="C33" s="16"/>
      <c r="D33" s="17">
        <f t="shared" si="0"/>
        <v>0</v>
      </c>
      <c r="E33" s="11"/>
      <c r="F33" s="11"/>
      <c r="G33" s="10"/>
      <c r="H33" s="10"/>
      <c r="I33" s="10"/>
      <c r="J33" s="10"/>
      <c r="K33" s="10"/>
      <c r="L33" s="10"/>
      <c r="M33" s="10"/>
      <c r="N33" s="11"/>
    </row>
    <row r="34" spans="1:14" x14ac:dyDescent="0.25">
      <c r="A34" s="13">
        <v>46242</v>
      </c>
      <c r="B34" s="16"/>
      <c r="C34" s="16"/>
      <c r="D34" s="17">
        <f t="shared" si="0"/>
        <v>0</v>
      </c>
      <c r="E34" s="11"/>
      <c r="F34" s="11"/>
      <c r="G34" s="10"/>
      <c r="H34" s="10"/>
      <c r="I34" s="10"/>
      <c r="J34" s="10"/>
      <c r="K34" s="10"/>
      <c r="L34" s="10"/>
      <c r="M34" s="10"/>
      <c r="N34" s="11"/>
    </row>
    <row r="35" spans="1:14" x14ac:dyDescent="0.25">
      <c r="A35" s="13">
        <v>46243</v>
      </c>
      <c r="B35" s="16"/>
      <c r="C35" s="16"/>
      <c r="D35" s="17">
        <f t="shared" si="0"/>
        <v>0</v>
      </c>
      <c r="E35" s="11"/>
      <c r="F35" s="11"/>
      <c r="G35" s="10"/>
      <c r="H35" s="10"/>
      <c r="I35" s="10"/>
      <c r="J35" s="10"/>
      <c r="K35" s="10"/>
      <c r="L35" s="10"/>
      <c r="M35" s="10"/>
      <c r="N35" s="11"/>
    </row>
    <row r="36" spans="1:14" x14ac:dyDescent="0.25">
      <c r="A36" s="13">
        <v>46243</v>
      </c>
      <c r="B36" s="16"/>
      <c r="C36" s="16"/>
      <c r="D36" s="17">
        <f t="shared" si="0"/>
        <v>0</v>
      </c>
      <c r="E36" s="11"/>
      <c r="F36" s="11"/>
      <c r="G36" s="10"/>
      <c r="H36" s="10"/>
      <c r="I36" s="10"/>
      <c r="J36" s="10"/>
      <c r="K36" s="10"/>
      <c r="L36" s="10"/>
      <c r="M36" s="10"/>
      <c r="N36" s="11"/>
    </row>
    <row r="37" spans="1:14" x14ac:dyDescent="0.25">
      <c r="A37" s="13">
        <v>46243</v>
      </c>
      <c r="B37" s="16"/>
      <c r="C37" s="16"/>
      <c r="D37" s="17">
        <f t="shared" si="0"/>
        <v>0</v>
      </c>
      <c r="E37" s="11"/>
      <c r="F37" s="11"/>
      <c r="G37" s="10"/>
      <c r="H37" s="10"/>
      <c r="I37" s="10"/>
      <c r="J37" s="10"/>
      <c r="K37" s="10"/>
      <c r="L37" s="10"/>
      <c r="M37" s="10"/>
      <c r="N37" s="11"/>
    </row>
    <row r="38" spans="1:14" x14ac:dyDescent="0.25">
      <c r="A38" s="13">
        <v>46243</v>
      </c>
      <c r="B38" s="16"/>
      <c r="C38" s="16"/>
      <c r="D38" s="17">
        <f t="shared" si="0"/>
        <v>0</v>
      </c>
      <c r="E38" s="11"/>
      <c r="F38" s="11"/>
      <c r="G38" s="10"/>
      <c r="H38" s="10"/>
      <c r="I38" s="10"/>
      <c r="J38" s="10"/>
      <c r="K38" s="10"/>
      <c r="L38" s="10"/>
      <c r="M38" s="10"/>
      <c r="N38" s="11"/>
    </row>
    <row r="39" spans="1:14" x14ac:dyDescent="0.25">
      <c r="A39" s="13">
        <v>46243</v>
      </c>
      <c r="B39" s="16"/>
      <c r="C39" s="16"/>
      <c r="D39" s="17">
        <f t="shared" si="0"/>
        <v>0</v>
      </c>
      <c r="E39" s="11"/>
      <c r="F39" s="11"/>
      <c r="G39" s="10"/>
      <c r="H39" s="10"/>
      <c r="I39" s="10"/>
      <c r="J39" s="10"/>
      <c r="K39" s="10"/>
      <c r="L39" s="10"/>
      <c r="M39" s="10"/>
      <c r="N39" s="11"/>
    </row>
    <row r="42" spans="1:14" x14ac:dyDescent="0.25">
      <c r="A42" s="3" t="s">
        <v>85</v>
      </c>
    </row>
    <row r="43" spans="1:14" x14ac:dyDescent="0.25">
      <c r="A43" s="4" t="s">
        <v>86</v>
      </c>
      <c r="B43" s="18">
        <f>SUMIFS(D5:D39,A5:A39,MAX(A5:A39))</f>
        <v>0</v>
      </c>
    </row>
    <row r="44" spans="1:14" x14ac:dyDescent="0.25">
      <c r="A44" s="4" t="s">
        <v>87</v>
      </c>
      <c r="B44" s="18">
        <f>SUMIFS(D5:D39,A5:A39,"&gt;="&amp;(WeekStart),A5:A39,"&lt;"&amp;(WeekStart+7))</f>
        <v>0</v>
      </c>
    </row>
    <row r="45" spans="1:14" x14ac:dyDescent="0.25">
      <c r="A45" s="4" t="s">
        <v>88</v>
      </c>
      <c r="B45" s="18">
        <f>IFERROR(AVERAGE(D5:D39),0)</f>
        <v>0</v>
      </c>
    </row>
    <row r="46" spans="1:14" x14ac:dyDescent="0.25">
      <c r="A46" s="4" t="s">
        <v>89</v>
      </c>
      <c r="B46" s="18">
        <f>IFERROR(MAX(D5:D39),0)</f>
        <v>0</v>
      </c>
    </row>
    <row r="47" spans="1:14" x14ac:dyDescent="0.25">
      <c r="A47" s="4" t="s">
        <v>90</v>
      </c>
      <c r="B47" s="18">
        <f>IFERROR(AVERAGE(J5:J39),0)</f>
        <v>0</v>
      </c>
    </row>
    <row r="48" spans="1:14" x14ac:dyDescent="0.25">
      <c r="A48" s="4" t="s">
        <v>91</v>
      </c>
      <c r="B48" s="18">
        <f>IFERROR(AVERAGE(L5:L39),0)</f>
        <v>0</v>
      </c>
    </row>
    <row r="49" spans="1:2" x14ac:dyDescent="0.25">
      <c r="A49" s="4" t="s">
        <v>92</v>
      </c>
      <c r="B49" s="18">
        <f>COUNT(D5:D39)</f>
        <v>35</v>
      </c>
    </row>
  </sheetData>
  <conditionalFormatting sqref="D5:D39">
    <cfRule type="dataBar" priority="3">
      <dataBar>
        <cfvo type="min"/>
        <cfvo type="max"/>
        <color rgb="FF2F6FED"/>
      </dataBar>
      <extLst>
        <ext xmlns:x14="http://schemas.microsoft.com/office/spreadsheetml/2009/9/main" uri="{B025F937-C7B1-47D3-B67F-A62EFF666E3E}">
          <x14:id>{F01B148D-F1E2-4098-A5FF-2C1BEB5084F7}</x14:id>
        </ext>
      </extLst>
    </cfRule>
  </conditionalFormatting>
  <conditionalFormatting sqref="J5:L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4">
    <dataValidation type="list" allowBlank="1" sqref="E5:E39" xr:uid="{00000000-0002-0000-0200-000000000000}">
      <formula1>SubjectList</formula1>
      <formula2>0</formula2>
    </dataValidation>
    <dataValidation type="list" allowBlank="1" sqref="H5:H39" xr:uid="{00000000-0002-0000-0200-000001000000}">
      <formula1>YesNoList</formula1>
      <formula2>0</formula2>
    </dataValidation>
    <dataValidation type="list" allowBlank="1" sqref="G5:G39" xr:uid="{00000000-0002-0000-0200-000002000000}">
      <formula1>"Reading,Practice,Revision,Lecture,Mock Test,Project Work"</formula1>
      <formula2>0</formula2>
    </dataValidation>
    <dataValidation type="whole" allowBlank="1" sqref="J5:L39" xr:uid="{00000000-0002-0000-0200-000003000000}">
      <formula1>1</formula1>
      <formula2>10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1B148D-F1E2-4098-A5FF-2C1BEB5084F7}">
            <x14:dataBar axisPosition="none">
              <x14:cfvo type="min"/>
              <x14:cfvo type="max"/>
              <x14:negativeFillColor rgb="FF2F6FED"/>
            </x14:dataBar>
          </x14:cfRule>
          <xm:sqref>D5:D39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6FED"/>
    <pageSetUpPr fitToPage="1"/>
  </sheetPr>
  <dimension ref="A1:T2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8.7109375" defaultRowHeight="15" x14ac:dyDescent="0.25"/>
  <cols>
    <col min="1" max="1" width="20" customWidth="1"/>
    <col min="2" max="8" width="9" customWidth="1"/>
    <col min="9" max="9" width="10" customWidth="1"/>
    <col min="10" max="11" width="14" customWidth="1"/>
    <col min="12" max="12" width="12" customWidth="1"/>
    <col min="13" max="13" width="13" customWidth="1"/>
    <col min="14" max="20" width="13" hidden="1" customWidth="1"/>
  </cols>
  <sheetData>
    <row r="1" spans="1:20" ht="26.25" x14ac:dyDescent="0.4">
      <c r="A1" s="2" t="s">
        <v>93</v>
      </c>
    </row>
    <row r="2" spans="1:20" x14ac:dyDescent="0.25">
      <c r="A2" s="1" t="s">
        <v>94</v>
      </c>
    </row>
    <row r="4" spans="1:20" ht="25.5" x14ac:dyDescent="0.25">
      <c r="A4" s="9" t="s">
        <v>95</v>
      </c>
      <c r="B4" s="9" t="s">
        <v>50</v>
      </c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  <c r="H4" s="9" t="s">
        <v>66</v>
      </c>
      <c r="I4" s="9" t="s">
        <v>96</v>
      </c>
      <c r="J4" s="9" t="s">
        <v>97</v>
      </c>
      <c r="K4" s="9" t="s">
        <v>98</v>
      </c>
      <c r="L4" s="9" t="s">
        <v>99</v>
      </c>
      <c r="M4" s="9" t="s">
        <v>100</v>
      </c>
    </row>
    <row r="5" spans="1:20" x14ac:dyDescent="0.25">
      <c r="A5" s="19" t="s">
        <v>101</v>
      </c>
      <c r="B5" s="10" t="s">
        <v>55</v>
      </c>
      <c r="C5" s="10" t="s">
        <v>55</v>
      </c>
      <c r="D5" s="10" t="s">
        <v>55</v>
      </c>
      <c r="E5" s="10" t="s">
        <v>55</v>
      </c>
      <c r="F5" s="10" t="s">
        <v>55</v>
      </c>
      <c r="G5" s="10" t="s">
        <v>55</v>
      </c>
      <c r="H5" s="10" t="s">
        <v>55</v>
      </c>
      <c r="I5" s="20">
        <f t="shared" ref="I5:I19" si="0">IFERROR((COUNTIF(B5:H5,"Yes")+0.5*COUNTIF(B5:H5,"Partial"))/7,0)</f>
        <v>0</v>
      </c>
      <c r="J5" s="21">
        <f t="shared" ref="J5:J19" si="1">T5</f>
        <v>0</v>
      </c>
      <c r="K5" s="21">
        <f t="shared" ref="K5:K19" si="2">MAX(N5:T5)</f>
        <v>0</v>
      </c>
      <c r="L5" s="22">
        <f t="shared" ref="L5:L19" si="3">COUNTIF(B5:H5,"No")</f>
        <v>7</v>
      </c>
      <c r="M5" s="20">
        <f t="shared" ref="M5:M19" si="4">IFERROR((COUNTIF(B5:H5,"Yes")+0.5*COUNTIF(B5:H5,"Partial"))/7,0)</f>
        <v>0</v>
      </c>
      <c r="N5" s="23">
        <f t="shared" ref="N5:N19" si="5">IF(B5="Yes",1,IF(B5="Partial",0.5,0))</f>
        <v>0</v>
      </c>
      <c r="O5" s="23">
        <f t="shared" ref="O5:O19" si="6">IF(C5="Yes",N5+1,IF(C5="Partial",N5+0.5,0))</f>
        <v>0</v>
      </c>
      <c r="P5" s="23">
        <f t="shared" ref="P5:P19" si="7">IF(D5="Yes",O5+1,IF(D5="Partial",O5+0.5,0))</f>
        <v>0</v>
      </c>
      <c r="Q5" s="23">
        <f t="shared" ref="Q5:Q19" si="8">IF(E5="Yes",P5+1,IF(E5="Partial",P5+0.5,0))</f>
        <v>0</v>
      </c>
      <c r="R5" s="23">
        <f t="shared" ref="R5:R19" si="9">IF(F5="Yes",Q5+1,IF(F5="Partial",Q5+0.5,0))</f>
        <v>0</v>
      </c>
      <c r="S5" s="23">
        <f t="shared" ref="S5:S19" si="10">IF(G5="Yes",R5+1,IF(G5="Partial",R5+0.5,0))</f>
        <v>0</v>
      </c>
      <c r="T5" s="23">
        <f t="shared" ref="T5:T19" si="11">IF(H5="Yes",S5+1,IF(H5="Partial",S5+0.5,0))</f>
        <v>0</v>
      </c>
    </row>
    <row r="6" spans="1:20" x14ac:dyDescent="0.25">
      <c r="A6" s="24" t="s">
        <v>102</v>
      </c>
      <c r="B6" s="10" t="s">
        <v>55</v>
      </c>
      <c r="C6" s="10" t="s">
        <v>55</v>
      </c>
      <c r="D6" s="10" t="s">
        <v>55</v>
      </c>
      <c r="E6" s="10" t="s">
        <v>55</v>
      </c>
      <c r="F6" s="10" t="s">
        <v>55</v>
      </c>
      <c r="G6" s="10" t="s">
        <v>55</v>
      </c>
      <c r="H6" s="10" t="s">
        <v>55</v>
      </c>
      <c r="I6" s="20">
        <f t="shared" si="0"/>
        <v>0</v>
      </c>
      <c r="J6" s="21">
        <f t="shared" si="1"/>
        <v>0</v>
      </c>
      <c r="K6" s="21">
        <f t="shared" si="2"/>
        <v>0</v>
      </c>
      <c r="L6" s="22">
        <f t="shared" si="3"/>
        <v>7</v>
      </c>
      <c r="M6" s="20">
        <f t="shared" si="4"/>
        <v>0</v>
      </c>
      <c r="N6" s="23">
        <f t="shared" si="5"/>
        <v>0</v>
      </c>
      <c r="O6" s="23">
        <f t="shared" si="6"/>
        <v>0</v>
      </c>
      <c r="P6" s="23">
        <f t="shared" si="7"/>
        <v>0</v>
      </c>
      <c r="Q6" s="23">
        <f t="shared" si="8"/>
        <v>0</v>
      </c>
      <c r="R6" s="23">
        <f t="shared" si="9"/>
        <v>0</v>
      </c>
      <c r="S6" s="23">
        <f t="shared" si="10"/>
        <v>0</v>
      </c>
      <c r="T6" s="23">
        <f t="shared" si="11"/>
        <v>0</v>
      </c>
    </row>
    <row r="7" spans="1:20" x14ac:dyDescent="0.25">
      <c r="A7" s="19" t="s">
        <v>103</v>
      </c>
      <c r="B7" s="10" t="s">
        <v>55</v>
      </c>
      <c r="C7" s="10" t="s">
        <v>55</v>
      </c>
      <c r="D7" s="10" t="s">
        <v>55</v>
      </c>
      <c r="E7" s="10" t="s">
        <v>55</v>
      </c>
      <c r="F7" s="10" t="s">
        <v>55</v>
      </c>
      <c r="G7" s="10" t="s">
        <v>55</v>
      </c>
      <c r="H7" s="10" t="s">
        <v>55</v>
      </c>
      <c r="I7" s="20">
        <f t="shared" si="0"/>
        <v>0</v>
      </c>
      <c r="J7" s="21">
        <f t="shared" si="1"/>
        <v>0</v>
      </c>
      <c r="K7" s="21">
        <f t="shared" si="2"/>
        <v>0</v>
      </c>
      <c r="L7" s="22">
        <f t="shared" si="3"/>
        <v>7</v>
      </c>
      <c r="M7" s="20">
        <f t="shared" si="4"/>
        <v>0</v>
      </c>
      <c r="N7" s="23">
        <f t="shared" si="5"/>
        <v>0</v>
      </c>
      <c r="O7" s="23">
        <f t="shared" si="6"/>
        <v>0</v>
      </c>
      <c r="P7" s="23">
        <f t="shared" si="7"/>
        <v>0</v>
      </c>
      <c r="Q7" s="23">
        <f t="shared" si="8"/>
        <v>0</v>
      </c>
      <c r="R7" s="23">
        <f t="shared" si="9"/>
        <v>0</v>
      </c>
      <c r="S7" s="23">
        <f t="shared" si="10"/>
        <v>0</v>
      </c>
      <c r="T7" s="23">
        <f t="shared" si="11"/>
        <v>0</v>
      </c>
    </row>
    <row r="8" spans="1:20" x14ac:dyDescent="0.25">
      <c r="A8" s="24" t="s">
        <v>104</v>
      </c>
      <c r="B8" s="10" t="s">
        <v>55</v>
      </c>
      <c r="C8" s="10" t="s">
        <v>55</v>
      </c>
      <c r="D8" s="10" t="s">
        <v>55</v>
      </c>
      <c r="E8" s="10" t="s">
        <v>55</v>
      </c>
      <c r="F8" s="10" t="s">
        <v>55</v>
      </c>
      <c r="G8" s="10" t="s">
        <v>55</v>
      </c>
      <c r="H8" s="10" t="s">
        <v>55</v>
      </c>
      <c r="I8" s="20">
        <f t="shared" si="0"/>
        <v>0</v>
      </c>
      <c r="J8" s="21">
        <f t="shared" si="1"/>
        <v>0</v>
      </c>
      <c r="K8" s="21">
        <f t="shared" si="2"/>
        <v>0</v>
      </c>
      <c r="L8" s="22">
        <f t="shared" si="3"/>
        <v>7</v>
      </c>
      <c r="M8" s="20">
        <f t="shared" si="4"/>
        <v>0</v>
      </c>
      <c r="N8" s="23">
        <f t="shared" si="5"/>
        <v>0</v>
      </c>
      <c r="O8" s="23">
        <f t="shared" si="6"/>
        <v>0</v>
      </c>
      <c r="P8" s="23">
        <f t="shared" si="7"/>
        <v>0</v>
      </c>
      <c r="Q8" s="23">
        <f t="shared" si="8"/>
        <v>0</v>
      </c>
      <c r="R8" s="23">
        <f t="shared" si="9"/>
        <v>0</v>
      </c>
      <c r="S8" s="23">
        <f t="shared" si="10"/>
        <v>0</v>
      </c>
      <c r="T8" s="23">
        <f t="shared" si="11"/>
        <v>0</v>
      </c>
    </row>
    <row r="9" spans="1:20" x14ac:dyDescent="0.25">
      <c r="A9" s="19" t="s">
        <v>105</v>
      </c>
      <c r="B9" s="10" t="s">
        <v>55</v>
      </c>
      <c r="C9" s="10" t="s">
        <v>55</v>
      </c>
      <c r="D9" s="10" t="s">
        <v>55</v>
      </c>
      <c r="E9" s="10" t="s">
        <v>55</v>
      </c>
      <c r="F9" s="10" t="s">
        <v>55</v>
      </c>
      <c r="G9" s="10" t="s">
        <v>55</v>
      </c>
      <c r="H9" s="10" t="s">
        <v>55</v>
      </c>
      <c r="I9" s="20">
        <f t="shared" si="0"/>
        <v>0</v>
      </c>
      <c r="J9" s="21">
        <f t="shared" si="1"/>
        <v>0</v>
      </c>
      <c r="K9" s="21">
        <f t="shared" si="2"/>
        <v>0</v>
      </c>
      <c r="L9" s="22">
        <f t="shared" si="3"/>
        <v>7</v>
      </c>
      <c r="M9" s="20">
        <f t="shared" si="4"/>
        <v>0</v>
      </c>
      <c r="N9" s="23">
        <f t="shared" si="5"/>
        <v>0</v>
      </c>
      <c r="O9" s="23">
        <f t="shared" si="6"/>
        <v>0</v>
      </c>
      <c r="P9" s="23">
        <f t="shared" si="7"/>
        <v>0</v>
      </c>
      <c r="Q9" s="23">
        <f t="shared" si="8"/>
        <v>0</v>
      </c>
      <c r="R9" s="23">
        <f t="shared" si="9"/>
        <v>0</v>
      </c>
      <c r="S9" s="23">
        <f t="shared" si="10"/>
        <v>0</v>
      </c>
      <c r="T9" s="23">
        <f t="shared" si="11"/>
        <v>0</v>
      </c>
    </row>
    <row r="10" spans="1:20" x14ac:dyDescent="0.25">
      <c r="A10" s="24" t="s">
        <v>106</v>
      </c>
      <c r="B10" s="10" t="s">
        <v>55</v>
      </c>
      <c r="C10" s="10" t="s">
        <v>55</v>
      </c>
      <c r="D10" s="10" t="s">
        <v>55</v>
      </c>
      <c r="E10" s="10" t="s">
        <v>55</v>
      </c>
      <c r="F10" s="10" t="s">
        <v>55</v>
      </c>
      <c r="G10" s="10" t="s">
        <v>55</v>
      </c>
      <c r="H10" s="10" t="s">
        <v>55</v>
      </c>
      <c r="I10" s="20">
        <f t="shared" si="0"/>
        <v>0</v>
      </c>
      <c r="J10" s="21">
        <f t="shared" si="1"/>
        <v>0</v>
      </c>
      <c r="K10" s="21">
        <f t="shared" si="2"/>
        <v>0</v>
      </c>
      <c r="L10" s="22">
        <f t="shared" si="3"/>
        <v>7</v>
      </c>
      <c r="M10" s="20">
        <f t="shared" si="4"/>
        <v>0</v>
      </c>
      <c r="N10" s="23">
        <f t="shared" si="5"/>
        <v>0</v>
      </c>
      <c r="O10" s="23">
        <f t="shared" si="6"/>
        <v>0</v>
      </c>
      <c r="P10" s="23">
        <f t="shared" si="7"/>
        <v>0</v>
      </c>
      <c r="Q10" s="23">
        <f t="shared" si="8"/>
        <v>0</v>
      </c>
      <c r="R10" s="23">
        <f t="shared" si="9"/>
        <v>0</v>
      </c>
      <c r="S10" s="23">
        <f t="shared" si="10"/>
        <v>0</v>
      </c>
      <c r="T10" s="23">
        <f t="shared" si="11"/>
        <v>0</v>
      </c>
    </row>
    <row r="11" spans="1:20" x14ac:dyDescent="0.25">
      <c r="A11" s="19" t="s">
        <v>107</v>
      </c>
      <c r="B11" s="10" t="s">
        <v>55</v>
      </c>
      <c r="C11" s="10" t="s">
        <v>55</v>
      </c>
      <c r="D11" s="10" t="s">
        <v>55</v>
      </c>
      <c r="E11" s="10" t="s">
        <v>55</v>
      </c>
      <c r="F11" s="10" t="s">
        <v>55</v>
      </c>
      <c r="G11" s="10" t="s">
        <v>55</v>
      </c>
      <c r="H11" s="10" t="s">
        <v>55</v>
      </c>
      <c r="I11" s="20">
        <f t="shared" si="0"/>
        <v>0</v>
      </c>
      <c r="J11" s="21">
        <f t="shared" si="1"/>
        <v>0</v>
      </c>
      <c r="K11" s="21">
        <f t="shared" si="2"/>
        <v>0</v>
      </c>
      <c r="L11" s="22">
        <f t="shared" si="3"/>
        <v>7</v>
      </c>
      <c r="M11" s="20">
        <f t="shared" si="4"/>
        <v>0</v>
      </c>
      <c r="N11" s="23">
        <f t="shared" si="5"/>
        <v>0</v>
      </c>
      <c r="O11" s="23">
        <f t="shared" si="6"/>
        <v>0</v>
      </c>
      <c r="P11" s="23">
        <f t="shared" si="7"/>
        <v>0</v>
      </c>
      <c r="Q11" s="23">
        <f t="shared" si="8"/>
        <v>0</v>
      </c>
      <c r="R11" s="23">
        <f t="shared" si="9"/>
        <v>0</v>
      </c>
      <c r="S11" s="23">
        <f t="shared" si="10"/>
        <v>0</v>
      </c>
      <c r="T11" s="23">
        <f t="shared" si="11"/>
        <v>0</v>
      </c>
    </row>
    <row r="12" spans="1:20" x14ac:dyDescent="0.25">
      <c r="A12" s="24" t="s">
        <v>108</v>
      </c>
      <c r="B12" s="10" t="s">
        <v>55</v>
      </c>
      <c r="C12" s="10" t="s">
        <v>55</v>
      </c>
      <c r="D12" s="10" t="s">
        <v>55</v>
      </c>
      <c r="E12" s="10" t="s">
        <v>55</v>
      </c>
      <c r="F12" s="10" t="s">
        <v>55</v>
      </c>
      <c r="G12" s="10" t="s">
        <v>55</v>
      </c>
      <c r="H12" s="10" t="s">
        <v>55</v>
      </c>
      <c r="I12" s="20">
        <f t="shared" si="0"/>
        <v>0</v>
      </c>
      <c r="J12" s="21">
        <f t="shared" si="1"/>
        <v>0</v>
      </c>
      <c r="K12" s="21">
        <f t="shared" si="2"/>
        <v>0</v>
      </c>
      <c r="L12" s="22">
        <f t="shared" si="3"/>
        <v>7</v>
      </c>
      <c r="M12" s="20">
        <f t="shared" si="4"/>
        <v>0</v>
      </c>
      <c r="N12" s="23">
        <f t="shared" si="5"/>
        <v>0</v>
      </c>
      <c r="O12" s="23">
        <f t="shared" si="6"/>
        <v>0</v>
      </c>
      <c r="P12" s="23">
        <f t="shared" si="7"/>
        <v>0</v>
      </c>
      <c r="Q12" s="23">
        <f t="shared" si="8"/>
        <v>0</v>
      </c>
      <c r="R12" s="23">
        <f t="shared" si="9"/>
        <v>0</v>
      </c>
      <c r="S12" s="23">
        <f t="shared" si="10"/>
        <v>0</v>
      </c>
      <c r="T12" s="23">
        <f t="shared" si="11"/>
        <v>0</v>
      </c>
    </row>
    <row r="13" spans="1:20" x14ac:dyDescent="0.25">
      <c r="A13" s="19" t="s">
        <v>109</v>
      </c>
      <c r="B13" s="10" t="s">
        <v>55</v>
      </c>
      <c r="C13" s="10" t="s">
        <v>55</v>
      </c>
      <c r="D13" s="10" t="s">
        <v>55</v>
      </c>
      <c r="E13" s="10" t="s">
        <v>55</v>
      </c>
      <c r="F13" s="10" t="s">
        <v>55</v>
      </c>
      <c r="G13" s="10" t="s">
        <v>55</v>
      </c>
      <c r="H13" s="10" t="s">
        <v>55</v>
      </c>
      <c r="I13" s="20">
        <f t="shared" si="0"/>
        <v>0</v>
      </c>
      <c r="J13" s="21">
        <f t="shared" si="1"/>
        <v>0</v>
      </c>
      <c r="K13" s="21">
        <f t="shared" si="2"/>
        <v>0</v>
      </c>
      <c r="L13" s="22">
        <f t="shared" si="3"/>
        <v>7</v>
      </c>
      <c r="M13" s="20">
        <f t="shared" si="4"/>
        <v>0</v>
      </c>
      <c r="N13" s="23">
        <f t="shared" si="5"/>
        <v>0</v>
      </c>
      <c r="O13" s="23">
        <f t="shared" si="6"/>
        <v>0</v>
      </c>
      <c r="P13" s="23">
        <f t="shared" si="7"/>
        <v>0</v>
      </c>
      <c r="Q13" s="23">
        <f t="shared" si="8"/>
        <v>0</v>
      </c>
      <c r="R13" s="23">
        <f t="shared" si="9"/>
        <v>0</v>
      </c>
      <c r="S13" s="23">
        <f t="shared" si="10"/>
        <v>0</v>
      </c>
      <c r="T13" s="23">
        <f t="shared" si="11"/>
        <v>0</v>
      </c>
    </row>
    <row r="14" spans="1:20" x14ac:dyDescent="0.25">
      <c r="A14" s="24" t="s">
        <v>110</v>
      </c>
      <c r="B14" s="10" t="s">
        <v>55</v>
      </c>
      <c r="C14" s="10" t="s">
        <v>55</v>
      </c>
      <c r="D14" s="10" t="s">
        <v>55</v>
      </c>
      <c r="E14" s="10" t="s">
        <v>55</v>
      </c>
      <c r="F14" s="10" t="s">
        <v>55</v>
      </c>
      <c r="G14" s="10" t="s">
        <v>55</v>
      </c>
      <c r="H14" s="10" t="s">
        <v>55</v>
      </c>
      <c r="I14" s="20">
        <f t="shared" si="0"/>
        <v>0</v>
      </c>
      <c r="J14" s="21">
        <f t="shared" si="1"/>
        <v>0</v>
      </c>
      <c r="K14" s="21">
        <f t="shared" si="2"/>
        <v>0</v>
      </c>
      <c r="L14" s="22">
        <f t="shared" si="3"/>
        <v>7</v>
      </c>
      <c r="M14" s="20">
        <f t="shared" si="4"/>
        <v>0</v>
      </c>
      <c r="N14" s="23">
        <f t="shared" si="5"/>
        <v>0</v>
      </c>
      <c r="O14" s="23">
        <f t="shared" si="6"/>
        <v>0</v>
      </c>
      <c r="P14" s="23">
        <f t="shared" si="7"/>
        <v>0</v>
      </c>
      <c r="Q14" s="23">
        <f t="shared" si="8"/>
        <v>0</v>
      </c>
      <c r="R14" s="23">
        <f t="shared" si="9"/>
        <v>0</v>
      </c>
      <c r="S14" s="23">
        <f t="shared" si="10"/>
        <v>0</v>
      </c>
      <c r="T14" s="23">
        <f t="shared" si="11"/>
        <v>0</v>
      </c>
    </row>
    <row r="15" spans="1:20" x14ac:dyDescent="0.25">
      <c r="A15" s="19" t="s">
        <v>111</v>
      </c>
      <c r="B15" s="10" t="s">
        <v>55</v>
      </c>
      <c r="C15" s="10" t="s">
        <v>55</v>
      </c>
      <c r="D15" s="10" t="s">
        <v>55</v>
      </c>
      <c r="E15" s="10" t="s">
        <v>55</v>
      </c>
      <c r="F15" s="10" t="s">
        <v>55</v>
      </c>
      <c r="G15" s="10" t="s">
        <v>55</v>
      </c>
      <c r="H15" s="10" t="s">
        <v>55</v>
      </c>
      <c r="I15" s="20">
        <f t="shared" si="0"/>
        <v>0</v>
      </c>
      <c r="J15" s="21">
        <f t="shared" si="1"/>
        <v>0</v>
      </c>
      <c r="K15" s="21">
        <f t="shared" si="2"/>
        <v>0</v>
      </c>
      <c r="L15" s="22">
        <f t="shared" si="3"/>
        <v>7</v>
      </c>
      <c r="M15" s="20">
        <f t="shared" si="4"/>
        <v>0</v>
      </c>
      <c r="N15" s="23">
        <f t="shared" si="5"/>
        <v>0</v>
      </c>
      <c r="O15" s="23">
        <f t="shared" si="6"/>
        <v>0</v>
      </c>
      <c r="P15" s="23">
        <f t="shared" si="7"/>
        <v>0</v>
      </c>
      <c r="Q15" s="23">
        <f t="shared" si="8"/>
        <v>0</v>
      </c>
      <c r="R15" s="23">
        <f t="shared" si="9"/>
        <v>0</v>
      </c>
      <c r="S15" s="23">
        <f t="shared" si="10"/>
        <v>0</v>
      </c>
      <c r="T15" s="23">
        <f t="shared" si="11"/>
        <v>0</v>
      </c>
    </row>
    <row r="16" spans="1:20" x14ac:dyDescent="0.25">
      <c r="A16" s="24" t="s">
        <v>112</v>
      </c>
      <c r="B16" s="10" t="s">
        <v>55</v>
      </c>
      <c r="C16" s="10" t="s">
        <v>55</v>
      </c>
      <c r="D16" s="10" t="s">
        <v>55</v>
      </c>
      <c r="E16" s="10" t="s">
        <v>55</v>
      </c>
      <c r="F16" s="10" t="s">
        <v>55</v>
      </c>
      <c r="G16" s="10" t="s">
        <v>55</v>
      </c>
      <c r="H16" s="10" t="s">
        <v>55</v>
      </c>
      <c r="I16" s="20">
        <f t="shared" si="0"/>
        <v>0</v>
      </c>
      <c r="J16" s="21">
        <f t="shared" si="1"/>
        <v>0</v>
      </c>
      <c r="K16" s="21">
        <f t="shared" si="2"/>
        <v>0</v>
      </c>
      <c r="L16" s="22">
        <f t="shared" si="3"/>
        <v>7</v>
      </c>
      <c r="M16" s="20">
        <f t="shared" si="4"/>
        <v>0</v>
      </c>
      <c r="N16" s="23">
        <f t="shared" si="5"/>
        <v>0</v>
      </c>
      <c r="O16" s="23">
        <f t="shared" si="6"/>
        <v>0</v>
      </c>
      <c r="P16" s="23">
        <f t="shared" si="7"/>
        <v>0</v>
      </c>
      <c r="Q16" s="23">
        <f t="shared" si="8"/>
        <v>0</v>
      </c>
      <c r="R16" s="23">
        <f t="shared" si="9"/>
        <v>0</v>
      </c>
      <c r="S16" s="23">
        <f t="shared" si="10"/>
        <v>0</v>
      </c>
      <c r="T16" s="23">
        <f t="shared" si="11"/>
        <v>0</v>
      </c>
    </row>
    <row r="17" spans="1:20" x14ac:dyDescent="0.25">
      <c r="A17" s="19" t="s">
        <v>113</v>
      </c>
      <c r="B17" s="10" t="s">
        <v>55</v>
      </c>
      <c r="C17" s="10" t="s">
        <v>55</v>
      </c>
      <c r="D17" s="10" t="s">
        <v>55</v>
      </c>
      <c r="E17" s="10" t="s">
        <v>55</v>
      </c>
      <c r="F17" s="10" t="s">
        <v>55</v>
      </c>
      <c r="G17" s="10" t="s">
        <v>55</v>
      </c>
      <c r="H17" s="10" t="s">
        <v>55</v>
      </c>
      <c r="I17" s="20">
        <f t="shared" si="0"/>
        <v>0</v>
      </c>
      <c r="J17" s="21">
        <f t="shared" si="1"/>
        <v>0</v>
      </c>
      <c r="K17" s="21">
        <f t="shared" si="2"/>
        <v>0</v>
      </c>
      <c r="L17" s="22">
        <f t="shared" si="3"/>
        <v>7</v>
      </c>
      <c r="M17" s="20">
        <f t="shared" si="4"/>
        <v>0</v>
      </c>
      <c r="N17" s="23">
        <f t="shared" si="5"/>
        <v>0</v>
      </c>
      <c r="O17" s="23">
        <f t="shared" si="6"/>
        <v>0</v>
      </c>
      <c r="P17" s="23">
        <f t="shared" si="7"/>
        <v>0</v>
      </c>
      <c r="Q17" s="23">
        <f t="shared" si="8"/>
        <v>0</v>
      </c>
      <c r="R17" s="23">
        <f t="shared" si="9"/>
        <v>0</v>
      </c>
      <c r="S17" s="23">
        <f t="shared" si="10"/>
        <v>0</v>
      </c>
      <c r="T17" s="23">
        <f t="shared" si="11"/>
        <v>0</v>
      </c>
    </row>
    <row r="18" spans="1:20" x14ac:dyDescent="0.25">
      <c r="A18" s="24" t="s">
        <v>114</v>
      </c>
      <c r="B18" s="10" t="s">
        <v>55</v>
      </c>
      <c r="C18" s="10" t="s">
        <v>55</v>
      </c>
      <c r="D18" s="10" t="s">
        <v>55</v>
      </c>
      <c r="E18" s="10" t="s">
        <v>55</v>
      </c>
      <c r="F18" s="10" t="s">
        <v>55</v>
      </c>
      <c r="G18" s="10" t="s">
        <v>55</v>
      </c>
      <c r="H18" s="10" t="s">
        <v>55</v>
      </c>
      <c r="I18" s="20">
        <f t="shared" si="0"/>
        <v>0</v>
      </c>
      <c r="J18" s="21">
        <f t="shared" si="1"/>
        <v>0</v>
      </c>
      <c r="K18" s="21">
        <f t="shared" si="2"/>
        <v>0</v>
      </c>
      <c r="L18" s="22">
        <f t="shared" si="3"/>
        <v>7</v>
      </c>
      <c r="M18" s="20">
        <f t="shared" si="4"/>
        <v>0</v>
      </c>
      <c r="N18" s="23">
        <f t="shared" si="5"/>
        <v>0</v>
      </c>
      <c r="O18" s="23">
        <f t="shared" si="6"/>
        <v>0</v>
      </c>
      <c r="P18" s="23">
        <f t="shared" si="7"/>
        <v>0</v>
      </c>
      <c r="Q18" s="23">
        <f t="shared" si="8"/>
        <v>0</v>
      </c>
      <c r="R18" s="23">
        <f t="shared" si="9"/>
        <v>0</v>
      </c>
      <c r="S18" s="23">
        <f t="shared" si="10"/>
        <v>0</v>
      </c>
      <c r="T18" s="23">
        <f t="shared" si="11"/>
        <v>0</v>
      </c>
    </row>
    <row r="19" spans="1:20" x14ac:dyDescent="0.25">
      <c r="A19" s="19" t="s">
        <v>115</v>
      </c>
      <c r="B19" s="10" t="s">
        <v>55</v>
      </c>
      <c r="C19" s="10" t="s">
        <v>55</v>
      </c>
      <c r="D19" s="10" t="s">
        <v>55</v>
      </c>
      <c r="E19" s="10" t="s">
        <v>55</v>
      </c>
      <c r="F19" s="10" t="s">
        <v>55</v>
      </c>
      <c r="G19" s="10" t="s">
        <v>55</v>
      </c>
      <c r="H19" s="10" t="s">
        <v>55</v>
      </c>
      <c r="I19" s="20">
        <f t="shared" si="0"/>
        <v>0</v>
      </c>
      <c r="J19" s="21">
        <f t="shared" si="1"/>
        <v>0</v>
      </c>
      <c r="K19" s="21">
        <f t="shared" si="2"/>
        <v>0</v>
      </c>
      <c r="L19" s="22">
        <f t="shared" si="3"/>
        <v>7</v>
      </c>
      <c r="M19" s="20">
        <f t="shared" si="4"/>
        <v>0</v>
      </c>
      <c r="N19" s="23">
        <f t="shared" si="5"/>
        <v>0</v>
      </c>
      <c r="O19" s="23">
        <f t="shared" si="6"/>
        <v>0</v>
      </c>
      <c r="P19" s="23">
        <f t="shared" si="7"/>
        <v>0</v>
      </c>
      <c r="Q19" s="23">
        <f t="shared" si="8"/>
        <v>0</v>
      </c>
      <c r="R19" s="23">
        <f t="shared" si="9"/>
        <v>0</v>
      </c>
      <c r="S19" s="23">
        <f t="shared" si="10"/>
        <v>0</v>
      </c>
      <c r="T19" s="23">
        <f t="shared" si="11"/>
        <v>0</v>
      </c>
    </row>
    <row r="22" spans="1:20" x14ac:dyDescent="0.25">
      <c r="A22" s="3" t="s">
        <v>116</v>
      </c>
    </row>
    <row r="23" spans="1:20" x14ac:dyDescent="0.25">
      <c r="A23" s="4" t="s">
        <v>117</v>
      </c>
      <c r="B23" s="14">
        <f>COUNTIF(H5:H19,"Yes")</f>
        <v>0</v>
      </c>
    </row>
    <row r="24" spans="1:20" x14ac:dyDescent="0.25">
      <c r="A24" s="4" t="s">
        <v>118</v>
      </c>
      <c r="B24" s="14">
        <f>COUNTIF(H5:H19,"No")</f>
        <v>15</v>
      </c>
    </row>
    <row r="25" spans="1:20" x14ac:dyDescent="0.25">
      <c r="A25" s="4" t="s">
        <v>119</v>
      </c>
      <c r="B25" s="25">
        <f>IFERROR(AVERAGE(I5:I19),0)</f>
        <v>0</v>
      </c>
    </row>
    <row r="26" spans="1:20" x14ac:dyDescent="0.25">
      <c r="A26" s="4" t="s">
        <v>120</v>
      </c>
      <c r="B26" s="14">
        <f>MAX(K5:K19)</f>
        <v>0</v>
      </c>
    </row>
    <row r="27" spans="1:20" x14ac:dyDescent="0.25">
      <c r="A27" s="4" t="s">
        <v>121</v>
      </c>
      <c r="B27" s="14">
        <f>COUNTIF(M5:M19,"&lt;"&amp;HabitGoalPct)</f>
        <v>15</v>
      </c>
    </row>
  </sheetData>
  <conditionalFormatting sqref="B5:H19">
    <cfRule type="cellIs" dxfId="2" priority="2" operator="equal">
      <formula>"Yes"</formula>
    </cfRule>
    <cfRule type="cellIs" dxfId="1" priority="3" operator="equal">
      <formula>"No"</formula>
    </cfRule>
    <cfRule type="cellIs" dxfId="0" priority="4" operator="equal">
      <formula>"Partial"</formula>
    </cfRule>
  </conditionalFormatting>
  <conditionalFormatting sqref="I5:I19">
    <cfRule type="dataBar" priority="5">
      <dataBar>
        <cfvo type="num" val="0"/>
        <cfvo type="num" val="1"/>
        <color rgb="FF1E8E5A"/>
      </dataBar>
      <extLst>
        <ext xmlns:x14="http://schemas.microsoft.com/office/spreadsheetml/2009/9/main" uri="{B025F937-C7B1-47D3-B67F-A62EFF666E3E}">
          <x14:id>{416996E3-E523-4DC3-A070-483B22A54630}</x14:id>
        </ext>
      </extLst>
    </cfRule>
  </conditionalFormatting>
  <conditionalFormatting sqref="M5:M19">
    <cfRule type="dataBar" priority="6">
      <dataBar>
        <cfvo type="num" val="0"/>
        <cfvo type="num" val="1"/>
        <color rgb="FF2F6FED"/>
      </dataBar>
      <extLst>
        <ext xmlns:x14="http://schemas.microsoft.com/office/spreadsheetml/2009/9/main" uri="{B025F937-C7B1-47D3-B67F-A62EFF666E3E}">
          <x14:id>{E5ED7029-40B0-4133-9B87-97A85CB45C2F}</x14:id>
        </ext>
      </extLst>
    </cfRule>
  </conditionalFormatting>
  <dataValidations count="1">
    <dataValidation type="list" allowBlank="1" sqref="B5:H19" xr:uid="{00000000-0002-0000-0300-000000000000}">
      <formula1>YesNoList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6996E3-E523-4DC3-A070-483B22A5463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E8E5A"/>
            </x14:dataBar>
          </x14:cfRule>
          <xm:sqref>I5:I19</xm:sqref>
        </x14:conditionalFormatting>
        <x14:conditionalFormatting xmlns:xm="http://schemas.microsoft.com/office/excel/2006/main">
          <x14:cfRule type="dataBar" id="{E5ED7029-40B0-4133-9B87-97A85CB45C2F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F6FED"/>
            </x14:dataBar>
          </x14:cfRule>
          <xm:sqref>M5:M19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2A44"/>
    <pageSetUpPr fitToPage="1"/>
  </sheetPr>
  <dimension ref="A1:E43"/>
  <sheetViews>
    <sheetView showGridLines="0" zoomScale="70" zoomScaleNormal="70" workbookViewId="0">
      <pane ySplit="5" topLeftCell="A6" activePane="bottomLeft" state="frozen"/>
      <selection pane="bottomLeft" activeCell="M48" sqref="M48"/>
    </sheetView>
  </sheetViews>
  <sheetFormatPr defaultColWidth="8.7109375" defaultRowHeight="15" x14ac:dyDescent="0.25"/>
  <cols>
    <col min="1" max="1" width="30" customWidth="1"/>
    <col min="2" max="5" width="16" customWidth="1"/>
    <col min="6" max="6" width="4" customWidth="1"/>
    <col min="7" max="7" width="30" customWidth="1"/>
    <col min="8" max="8" width="16" customWidth="1"/>
  </cols>
  <sheetData>
    <row r="1" spans="1:5" ht="26.25" x14ac:dyDescent="0.4">
      <c r="A1" s="2" t="s">
        <v>122</v>
      </c>
    </row>
    <row r="2" spans="1:5" x14ac:dyDescent="0.25">
      <c r="A2" s="1" t="s">
        <v>123</v>
      </c>
    </row>
    <row r="4" spans="1:5" x14ac:dyDescent="0.25">
      <c r="A4" s="3" t="s">
        <v>124</v>
      </c>
    </row>
    <row r="5" spans="1:5" ht="25.5" x14ac:dyDescent="0.25">
      <c r="A5" s="9" t="s">
        <v>39</v>
      </c>
      <c r="B5" s="9" t="s">
        <v>125</v>
      </c>
      <c r="C5" s="9" t="s">
        <v>11</v>
      </c>
      <c r="D5" s="9" t="s">
        <v>126</v>
      </c>
      <c r="E5" s="9" t="s">
        <v>69</v>
      </c>
    </row>
    <row r="6" spans="1:5" x14ac:dyDescent="0.25">
      <c r="A6" s="19" t="s">
        <v>51</v>
      </c>
      <c r="B6" s="26">
        <f>SUMIFS('Daily Study Log'!$D$5:$D$39,'Daily Study Log'!$E$5:$E$39,$A6)</f>
        <v>0</v>
      </c>
      <c r="C6" s="26">
        <f>COUNTIFS('Weekly Planner'!$B$5:$B$32,$A6,'Weekly Planner'!$I$5:$I$32,"Yes")</f>
        <v>0</v>
      </c>
      <c r="D6" s="27">
        <f>IFERROR(AVERAGEIFS('Daily Study Log'!$J$5:$J$39,'Daily Study Log'!$E$5:$E$39,$A6),0)</f>
        <v>0</v>
      </c>
      <c r="E6" s="28">
        <f>IFERROR($C6/COUNTIFS('Weekly Planner'!$B$5:$B$32,$A6),0)</f>
        <v>0</v>
      </c>
    </row>
    <row r="7" spans="1:5" x14ac:dyDescent="0.25">
      <c r="A7" s="24" t="s">
        <v>106</v>
      </c>
      <c r="B7" s="29">
        <f>SUMIFS('Daily Study Log'!$D$5:$D$39,'Daily Study Log'!$E$5:$E$39,$A7)</f>
        <v>0</v>
      </c>
      <c r="C7" s="29">
        <f>COUNTIFS('Weekly Planner'!$B$5:$B$32,$A7,'Weekly Planner'!$I$5:$I$32,"Yes")</f>
        <v>0</v>
      </c>
      <c r="D7" s="30">
        <f>IFERROR(AVERAGEIFS('Daily Study Log'!$J$5:$J$39,'Daily Study Log'!$E$5:$E$39,$A7),0)</f>
        <v>0</v>
      </c>
      <c r="E7" s="31">
        <f>IFERROR($C7/COUNTIFS('Weekly Planner'!$B$5:$B$32,$A7),0)</f>
        <v>0</v>
      </c>
    </row>
    <row r="8" spans="1:5" x14ac:dyDescent="0.25">
      <c r="A8" s="19" t="s">
        <v>107</v>
      </c>
      <c r="B8" s="26">
        <f>SUMIFS('Daily Study Log'!$D$5:$D$39,'Daily Study Log'!$E$5:$E$39,$A8)</f>
        <v>0</v>
      </c>
      <c r="C8" s="26">
        <f>COUNTIFS('Weekly Planner'!$B$5:$B$32,$A8,'Weekly Planner'!$I$5:$I$32,"Yes")</f>
        <v>0</v>
      </c>
      <c r="D8" s="27">
        <f>IFERROR(AVERAGEIFS('Daily Study Log'!$J$5:$J$39,'Daily Study Log'!$E$5:$E$39,$A8),0)</f>
        <v>0</v>
      </c>
      <c r="E8" s="28">
        <f>IFERROR($C8/COUNTIFS('Weekly Planner'!$B$5:$B$32,$A8),0)</f>
        <v>0</v>
      </c>
    </row>
    <row r="9" spans="1:5" x14ac:dyDescent="0.25">
      <c r="A9" s="24" t="s">
        <v>127</v>
      </c>
      <c r="B9" s="29">
        <f>SUMIFS('Daily Study Log'!$D$5:$D$39,'Daily Study Log'!$E$5:$E$39,$A9)</f>
        <v>0</v>
      </c>
      <c r="C9" s="29">
        <f>COUNTIFS('Weekly Planner'!$B$5:$B$32,$A9,'Weekly Planner'!$I$5:$I$32,"Yes")</f>
        <v>0</v>
      </c>
      <c r="D9" s="30">
        <f>IFERROR(AVERAGEIFS('Daily Study Log'!$J$5:$J$39,'Daily Study Log'!$E$5:$E$39,$A9),0)</f>
        <v>0</v>
      </c>
      <c r="E9" s="31">
        <f>IFERROR($C9/COUNTIFS('Weekly Planner'!$B$5:$B$32,$A9),0)</f>
        <v>0</v>
      </c>
    </row>
    <row r="10" spans="1:5" x14ac:dyDescent="0.25">
      <c r="A10" s="19" t="s">
        <v>128</v>
      </c>
      <c r="B10" s="26">
        <f>SUMIFS('Daily Study Log'!$D$5:$D$39,'Daily Study Log'!$E$5:$E$39,$A10)</f>
        <v>0</v>
      </c>
      <c r="C10" s="26">
        <f>COUNTIFS('Weekly Planner'!$B$5:$B$32,$A10,'Weekly Planner'!$I$5:$I$32,"Yes")</f>
        <v>0</v>
      </c>
      <c r="D10" s="27">
        <f>IFERROR(AVERAGEIFS('Daily Study Log'!$J$5:$J$39,'Daily Study Log'!$E$5:$E$39,$A10),0)</f>
        <v>0</v>
      </c>
      <c r="E10" s="28">
        <f>IFERROR($C10/COUNTIFS('Weekly Planner'!$B$5:$B$32,$A10),0)</f>
        <v>0</v>
      </c>
    </row>
    <row r="11" spans="1:5" x14ac:dyDescent="0.25">
      <c r="A11" s="24" t="s">
        <v>129</v>
      </c>
      <c r="B11" s="29">
        <f>SUMIFS('Daily Study Log'!$D$5:$D$39,'Daily Study Log'!$E$5:$E$39,$A11)</f>
        <v>0</v>
      </c>
      <c r="C11" s="29">
        <f>COUNTIFS('Weekly Planner'!$B$5:$B$32,$A11,'Weekly Planner'!$I$5:$I$32,"Yes")</f>
        <v>0</v>
      </c>
      <c r="D11" s="30">
        <f>IFERROR(AVERAGEIFS('Daily Study Log'!$J$5:$J$39,'Daily Study Log'!$E$5:$E$39,$A11),0)</f>
        <v>0</v>
      </c>
      <c r="E11" s="31">
        <f>IFERROR($C11/COUNTIFS('Weekly Planner'!$B$5:$B$32,$A11),0)</f>
        <v>0</v>
      </c>
    </row>
    <row r="12" spans="1:5" x14ac:dyDescent="0.25">
      <c r="A12" s="19" t="s">
        <v>130</v>
      </c>
      <c r="B12" s="26">
        <f>SUMIFS('Daily Study Log'!$D$5:$D$39,'Daily Study Log'!$E$5:$E$39,$A12)</f>
        <v>0</v>
      </c>
      <c r="C12" s="26">
        <f>COUNTIFS('Weekly Planner'!$B$5:$B$32,$A12,'Weekly Planner'!$I$5:$I$32,"Yes")</f>
        <v>0</v>
      </c>
      <c r="D12" s="27">
        <f>IFERROR(AVERAGEIFS('Daily Study Log'!$J$5:$J$39,'Daily Study Log'!$E$5:$E$39,$A12),0)</f>
        <v>0</v>
      </c>
      <c r="E12" s="28">
        <f>IFERROR($C12/COUNTIFS('Weekly Planner'!$B$5:$B$32,$A12),0)</f>
        <v>0</v>
      </c>
    </row>
    <row r="13" spans="1:5" x14ac:dyDescent="0.25">
      <c r="A13" s="24" t="s">
        <v>131</v>
      </c>
      <c r="B13" s="29">
        <f>SUMIFS('Daily Study Log'!$D$5:$D$39,'Daily Study Log'!$E$5:$E$39,$A13)</f>
        <v>0</v>
      </c>
      <c r="C13" s="29">
        <f>COUNTIFS('Weekly Planner'!$B$5:$B$32,$A13,'Weekly Planner'!$I$5:$I$32,"Yes")</f>
        <v>0</v>
      </c>
      <c r="D13" s="30">
        <f>IFERROR(AVERAGEIFS('Daily Study Log'!$J$5:$J$39,'Daily Study Log'!$E$5:$E$39,$A13),0)</f>
        <v>0</v>
      </c>
      <c r="E13" s="31">
        <f>IFERROR($C13/COUNTIFS('Weekly Planner'!$B$5:$B$32,$A13),0)</f>
        <v>0</v>
      </c>
    </row>
    <row r="14" spans="1:5" x14ac:dyDescent="0.25">
      <c r="A14" s="19" t="s">
        <v>132</v>
      </c>
      <c r="B14" s="26">
        <f>SUMIFS('Daily Study Log'!$D$5:$D$39,'Daily Study Log'!$E$5:$E$39,$A14)</f>
        <v>0</v>
      </c>
      <c r="C14" s="26">
        <f>COUNTIFS('Weekly Planner'!$B$5:$B$32,$A14,'Weekly Planner'!$I$5:$I$32,"Yes")</f>
        <v>0</v>
      </c>
      <c r="D14" s="27">
        <f>IFERROR(AVERAGEIFS('Daily Study Log'!$J$5:$J$39,'Daily Study Log'!$E$5:$E$39,$A14),0)</f>
        <v>0</v>
      </c>
      <c r="E14" s="28">
        <f>IFERROR($C14/COUNTIFS('Weekly Planner'!$B$5:$B$32,$A14),0)</f>
        <v>0</v>
      </c>
    </row>
    <row r="15" spans="1:5" x14ac:dyDescent="0.25">
      <c r="A15" s="24" t="s">
        <v>133</v>
      </c>
      <c r="B15" s="29">
        <f>SUMIFS('Daily Study Log'!$D$5:$D$39,'Daily Study Log'!$E$5:$E$39,$A15)</f>
        <v>0</v>
      </c>
      <c r="C15" s="29">
        <f>COUNTIFS('Weekly Planner'!$B$5:$B$32,$A15,'Weekly Planner'!$I$5:$I$32,"Yes")</f>
        <v>0</v>
      </c>
      <c r="D15" s="30">
        <f>IFERROR(AVERAGEIFS('Daily Study Log'!$J$5:$J$39,'Daily Study Log'!$E$5:$E$39,$A15),0)</f>
        <v>0</v>
      </c>
      <c r="E15" s="31">
        <f>IFERROR($C15/COUNTIFS('Weekly Planner'!$B$5:$B$32,$A15),0)</f>
        <v>0</v>
      </c>
    </row>
    <row r="16" spans="1:5" x14ac:dyDescent="0.25">
      <c r="A16" s="19" t="s">
        <v>108</v>
      </c>
      <c r="B16" s="26">
        <f>SUMIFS('Daily Study Log'!$D$5:$D$39,'Daily Study Log'!$E$5:$E$39,$A16)</f>
        <v>0</v>
      </c>
      <c r="C16" s="26">
        <f>COUNTIFS('Weekly Planner'!$B$5:$B$32,$A16,'Weekly Planner'!$I$5:$I$32,"Yes")</f>
        <v>0</v>
      </c>
      <c r="D16" s="27">
        <f>IFERROR(AVERAGEIFS('Daily Study Log'!$J$5:$J$39,'Daily Study Log'!$E$5:$E$39,$A16),0)</f>
        <v>0</v>
      </c>
      <c r="E16" s="28">
        <f>IFERROR($C16/COUNTIFS('Weekly Planner'!$B$5:$B$32,$A16),0)</f>
        <v>0</v>
      </c>
    </row>
    <row r="17" spans="1:5" x14ac:dyDescent="0.25">
      <c r="A17" s="24" t="s">
        <v>134</v>
      </c>
      <c r="B17" s="29">
        <f>SUMIFS('Daily Study Log'!$D$5:$D$39,'Daily Study Log'!$E$5:$E$39,$A17)</f>
        <v>0</v>
      </c>
      <c r="C17" s="29">
        <f>COUNTIFS('Weekly Planner'!$B$5:$B$32,$A17,'Weekly Planner'!$I$5:$I$32,"Yes")</f>
        <v>0</v>
      </c>
      <c r="D17" s="30">
        <f>IFERROR(AVERAGEIFS('Daily Study Log'!$J$5:$J$39,'Daily Study Log'!$E$5:$E$39,$A17),0)</f>
        <v>0</v>
      </c>
      <c r="E17" s="31">
        <f>IFERROR($C17/COUNTIFS('Weekly Planner'!$B$5:$B$32,$A17),0)</f>
        <v>0</v>
      </c>
    </row>
    <row r="20" spans="1:5" x14ac:dyDescent="0.25">
      <c r="A20" s="3" t="s">
        <v>135</v>
      </c>
    </row>
    <row r="21" spans="1:5" x14ac:dyDescent="0.25">
      <c r="A21" s="4" t="s">
        <v>136</v>
      </c>
      <c r="B21" s="14" t="str">
        <f>INDEX(A6:A17,MATCH(MAX(B6:B17),B6:B17,0))</f>
        <v>DSA</v>
      </c>
    </row>
    <row r="22" spans="1:5" x14ac:dyDescent="0.25">
      <c r="A22" s="4" t="s">
        <v>137</v>
      </c>
      <c r="B22" s="14" t="str">
        <f>INDEX(A6:A17,MATCH(MIN(B6:B17),B6:B17,0))</f>
        <v>DSA</v>
      </c>
    </row>
    <row r="23" spans="1:5" x14ac:dyDescent="0.25">
      <c r="A23" s="4" t="s">
        <v>138</v>
      </c>
      <c r="B23" s="14" t="e">
        <f>TEXT(INDEX('Daily Study Log'!$A$5:$A$39,MATCH(MAX('Daily Study Log'!$J$5:$J$39),'Daily Study Log'!$J$5:$J$39,0)),"dd-mmm")</f>
        <v>#N/A</v>
      </c>
    </row>
    <row r="24" spans="1:5" x14ac:dyDescent="0.25">
      <c r="A24" s="4" t="s">
        <v>139</v>
      </c>
      <c r="B24" s="14" t="e">
        <f>TEXT(INDEX('Daily Study Log'!$A$5:$A$39,MATCH(MIN('Daily Study Log'!$J$5:$J$39),'Daily Study Log'!$J$5:$J$39,0)),"dd-mmm")</f>
        <v>#N/A</v>
      </c>
    </row>
    <row r="25" spans="1:5" x14ac:dyDescent="0.25">
      <c r="A25" s="4" t="s">
        <v>140</v>
      </c>
      <c r="B25" s="15">
        <f>IFERROR(COUNT('Daily Study Log'!$D$5:$D$39)/7,0)</f>
        <v>5</v>
      </c>
    </row>
    <row r="26" spans="1:5" x14ac:dyDescent="0.25">
      <c r="A26" s="4" t="s">
        <v>141</v>
      </c>
      <c r="B26" s="15">
        <f>IFERROR(COUNTIFS('Weekly Planner'!$L$5:$L$32,"Yes")/COUNTA('Weekly Planner'!$L$5:$L$32),0)</f>
        <v>1</v>
      </c>
    </row>
    <row r="27" spans="1:5" x14ac:dyDescent="0.25">
      <c r="A27" s="4" t="s">
        <v>142</v>
      </c>
      <c r="B27" s="15">
        <f>IFERROR((SUM(B6:B17)-WeeklyGoalHrs)/WeeklyGoalHrs,0)</f>
        <v>-1</v>
      </c>
    </row>
    <row r="30" spans="1:5" x14ac:dyDescent="0.25">
      <c r="A30" s="3" t="s">
        <v>143</v>
      </c>
    </row>
    <row r="31" spans="1:5" x14ac:dyDescent="0.25">
      <c r="A31" s="9" t="s">
        <v>144</v>
      </c>
      <c r="B31" s="9" t="s">
        <v>145</v>
      </c>
      <c r="C31" s="9" t="s">
        <v>146</v>
      </c>
      <c r="D31" s="9" t="s">
        <v>147</v>
      </c>
      <c r="E31" s="9" t="s">
        <v>148</v>
      </c>
    </row>
    <row r="32" spans="1:5" x14ac:dyDescent="0.25">
      <c r="A32" s="12">
        <f>SUM(B6:B17)</f>
        <v>0</v>
      </c>
      <c r="B32" s="32">
        <v>0</v>
      </c>
      <c r="C32" s="32">
        <v>0</v>
      </c>
      <c r="D32" s="12">
        <v>0</v>
      </c>
      <c r="E32" s="12">
        <f>IFERROR(AVERAGE(A32:D32),0)</f>
        <v>0</v>
      </c>
    </row>
    <row r="33" spans="1:2" x14ac:dyDescent="0.25">
      <c r="A33" s="5" t="s">
        <v>149</v>
      </c>
    </row>
    <row r="36" spans="1:2" x14ac:dyDescent="0.25">
      <c r="A36" s="3" t="s">
        <v>150</v>
      </c>
    </row>
    <row r="37" spans="1:2" x14ac:dyDescent="0.25">
      <c r="A37" s="33" t="s">
        <v>51</v>
      </c>
      <c r="B37" s="34">
        <f t="shared" ref="B37:B43" si="0">IFERROR(INDEX($E$6:$E$17,MATCH($A37,$A$6:$A$17,0)),0)</f>
        <v>0</v>
      </c>
    </row>
    <row r="38" spans="1:2" x14ac:dyDescent="0.25">
      <c r="A38" s="33" t="s">
        <v>106</v>
      </c>
      <c r="B38" s="34">
        <f t="shared" si="0"/>
        <v>0</v>
      </c>
    </row>
    <row r="39" spans="1:2" x14ac:dyDescent="0.25">
      <c r="A39" s="33" t="s">
        <v>107</v>
      </c>
      <c r="B39" s="34">
        <f t="shared" si="0"/>
        <v>0</v>
      </c>
    </row>
    <row r="40" spans="1:2" x14ac:dyDescent="0.25">
      <c r="A40" s="33" t="s">
        <v>131</v>
      </c>
      <c r="B40" s="34">
        <f t="shared" si="0"/>
        <v>0</v>
      </c>
    </row>
    <row r="41" spans="1:2" x14ac:dyDescent="0.25">
      <c r="A41" s="33" t="s">
        <v>132</v>
      </c>
      <c r="B41" s="34">
        <f t="shared" si="0"/>
        <v>0</v>
      </c>
    </row>
    <row r="42" spans="1:2" x14ac:dyDescent="0.25">
      <c r="A42" s="33" t="s">
        <v>127</v>
      </c>
      <c r="B42" s="34">
        <f t="shared" si="0"/>
        <v>0</v>
      </c>
    </row>
    <row r="43" spans="1:2" x14ac:dyDescent="0.25">
      <c r="A43" s="33" t="s">
        <v>133</v>
      </c>
      <c r="B43" s="34">
        <f t="shared" si="0"/>
        <v>0</v>
      </c>
    </row>
  </sheetData>
  <conditionalFormatting sqref="B6:B17">
    <cfRule type="dataBar" priority="3">
      <dataBar>
        <cfvo type="min"/>
        <cfvo type="max"/>
        <color rgb="FF4C8BF5"/>
      </dataBar>
      <extLst>
        <ext xmlns:x14="http://schemas.microsoft.com/office/spreadsheetml/2009/9/main" uri="{B025F937-C7B1-47D3-B67F-A62EFF666E3E}">
          <x14:id>{F6D292D3-2DE0-4B77-80E3-CCBFF7C85BBC}</x14:id>
        </ext>
      </extLst>
    </cfRule>
  </conditionalFormatting>
  <conditionalFormatting sqref="E6:E17">
    <cfRule type="dataBar" priority="2">
      <dataBar>
        <cfvo type="num" val="0"/>
        <cfvo type="num" val="1"/>
        <color rgb="FF2F6FED"/>
      </dataBar>
      <extLst>
        <ext xmlns:x14="http://schemas.microsoft.com/office/spreadsheetml/2009/9/main" uri="{B025F937-C7B1-47D3-B67F-A62EFF666E3E}">
          <x14:id>{119D509D-10C2-49A9-B0CC-D0D09D403045}</x14:id>
        </ext>
      </extLst>
    </cfRule>
  </conditionalFormatting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D292D3-2DE0-4B77-80E3-CCBFF7C85BBC}">
            <x14:dataBar axisPosition="none">
              <x14:cfvo type="min"/>
              <x14:cfvo type="max"/>
              <x14:negativeFillColor rgb="FF4C8BF5"/>
            </x14:dataBar>
          </x14:cfRule>
          <xm:sqref>B6:B17</xm:sqref>
        </x14:conditionalFormatting>
        <x14:conditionalFormatting xmlns:xm="http://schemas.microsoft.com/office/excel/2006/main">
          <x14:cfRule type="dataBar" id="{119D509D-10C2-49A9-B0CC-D0D09D403045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F6FED"/>
            </x14:dataBar>
          </x14:cfRule>
          <xm:sqref>E6:E17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A94A6"/>
    <pageSetUpPr fitToPage="1"/>
  </sheetPr>
  <dimension ref="A1:L20"/>
  <sheetViews>
    <sheetView showGridLines="0" zoomScaleNormal="100" workbookViewId="0">
      <pane ySplit="2" topLeftCell="A3" activePane="bottomLeft" state="frozen"/>
      <selection pane="bottomLeft" activeCell="N10" sqref="N10"/>
    </sheetView>
  </sheetViews>
  <sheetFormatPr defaultColWidth="8.7109375" defaultRowHeight="15" x14ac:dyDescent="0.25"/>
  <cols>
    <col min="1" max="1" width="26" customWidth="1"/>
    <col min="2" max="2" width="3" customWidth="1"/>
    <col min="3" max="3" width="20" customWidth="1"/>
    <col min="4" max="4" width="3" customWidth="1"/>
    <col min="5" max="5" width="14" customWidth="1"/>
    <col min="6" max="6" width="16" customWidth="1"/>
    <col min="7" max="7" width="3" customWidth="1"/>
    <col min="8" max="8" width="22" customWidth="1"/>
    <col min="9" max="9" width="14" customWidth="1"/>
    <col min="10" max="10" width="3" customWidth="1"/>
    <col min="11" max="11" width="22" customWidth="1"/>
    <col min="12" max="12" width="14" customWidth="1"/>
  </cols>
  <sheetData>
    <row r="1" spans="1:12" ht="26.25" x14ac:dyDescent="0.4">
      <c r="A1" s="2" t="s">
        <v>151</v>
      </c>
    </row>
    <row r="2" spans="1:12" x14ac:dyDescent="0.25">
      <c r="A2" s="1" t="s">
        <v>152</v>
      </c>
    </row>
    <row r="3" spans="1:12" x14ac:dyDescent="0.25">
      <c r="K3" s="3" t="s">
        <v>153</v>
      </c>
    </row>
    <row r="4" spans="1:12" ht="25.5" x14ac:dyDescent="0.25">
      <c r="A4" s="9" t="s">
        <v>154</v>
      </c>
      <c r="C4" s="9" t="s">
        <v>155</v>
      </c>
      <c r="E4" s="9" t="s">
        <v>156</v>
      </c>
      <c r="F4" s="9" t="s">
        <v>157</v>
      </c>
      <c r="H4" s="9" t="s">
        <v>158</v>
      </c>
      <c r="I4" s="9" t="s">
        <v>159</v>
      </c>
      <c r="K4" s="4" t="s">
        <v>160</v>
      </c>
      <c r="L4" s="35">
        <v>40</v>
      </c>
    </row>
    <row r="5" spans="1:12" x14ac:dyDescent="0.25">
      <c r="A5" s="19" t="s">
        <v>51</v>
      </c>
      <c r="C5" s="19" t="s">
        <v>101</v>
      </c>
      <c r="E5" s="19" t="s">
        <v>53</v>
      </c>
      <c r="F5" s="19" t="s">
        <v>60</v>
      </c>
      <c r="H5" s="19" t="s">
        <v>50</v>
      </c>
      <c r="I5" s="19" t="s">
        <v>58</v>
      </c>
      <c r="K5" s="4" t="s">
        <v>161</v>
      </c>
      <c r="L5" s="35">
        <v>30</v>
      </c>
    </row>
    <row r="6" spans="1:12" x14ac:dyDescent="0.25">
      <c r="A6" s="24" t="s">
        <v>106</v>
      </c>
      <c r="C6" s="24" t="s">
        <v>102</v>
      </c>
      <c r="E6" s="24" t="s">
        <v>57</v>
      </c>
      <c r="F6" s="24" t="s">
        <v>54</v>
      </c>
      <c r="H6" s="24" t="s">
        <v>61</v>
      </c>
      <c r="I6" s="24" t="s">
        <v>55</v>
      </c>
      <c r="K6" s="4" t="s">
        <v>162</v>
      </c>
      <c r="L6" s="36">
        <f>L4/7</f>
        <v>5.7142857142857144</v>
      </c>
    </row>
    <row r="7" spans="1:12" x14ac:dyDescent="0.25">
      <c r="A7" s="19" t="s">
        <v>107</v>
      </c>
      <c r="C7" s="19" t="s">
        <v>103</v>
      </c>
      <c r="E7" s="19" t="s">
        <v>163</v>
      </c>
      <c r="F7" s="19" t="s">
        <v>35</v>
      </c>
      <c r="H7" s="19" t="s">
        <v>62</v>
      </c>
      <c r="I7" s="19" t="s">
        <v>164</v>
      </c>
      <c r="K7" s="4" t="s">
        <v>165</v>
      </c>
      <c r="L7" s="37">
        <v>0.8</v>
      </c>
    </row>
    <row r="8" spans="1:12" x14ac:dyDescent="0.25">
      <c r="A8" s="24" t="s">
        <v>127</v>
      </c>
      <c r="C8" s="24" t="s">
        <v>104</v>
      </c>
      <c r="F8" s="24" t="s">
        <v>166</v>
      </c>
      <c r="H8" s="24" t="s">
        <v>63</v>
      </c>
    </row>
    <row r="9" spans="1:12" x14ac:dyDescent="0.25">
      <c r="A9" s="19" t="s">
        <v>128</v>
      </c>
      <c r="C9" s="19" t="s">
        <v>105</v>
      </c>
      <c r="F9" s="19" t="s">
        <v>167</v>
      </c>
      <c r="H9" s="19" t="s">
        <v>64</v>
      </c>
      <c r="K9" s="4" t="s">
        <v>168</v>
      </c>
      <c r="L9" s="38">
        <v>46237</v>
      </c>
    </row>
    <row r="10" spans="1:12" x14ac:dyDescent="0.25">
      <c r="A10" s="24" t="s">
        <v>129</v>
      </c>
      <c r="C10" s="24" t="s">
        <v>106</v>
      </c>
      <c r="H10" s="24" t="s">
        <v>65</v>
      </c>
      <c r="K10" s="4" t="s">
        <v>1</v>
      </c>
      <c r="L10" s="35">
        <f>WEEKNUM(L9,1)</f>
        <v>32</v>
      </c>
    </row>
    <row r="11" spans="1:12" x14ac:dyDescent="0.25">
      <c r="A11" s="19" t="s">
        <v>130</v>
      </c>
      <c r="C11" s="19" t="s">
        <v>107</v>
      </c>
      <c r="H11" s="19" t="s">
        <v>66</v>
      </c>
    </row>
    <row r="12" spans="1:12" x14ac:dyDescent="0.25">
      <c r="A12" s="24" t="s">
        <v>131</v>
      </c>
      <c r="C12" s="24" t="s">
        <v>108</v>
      </c>
    </row>
    <row r="13" spans="1:12" x14ac:dyDescent="0.25">
      <c r="A13" s="19" t="s">
        <v>132</v>
      </c>
      <c r="C13" s="19" t="s">
        <v>109</v>
      </c>
    </row>
    <row r="14" spans="1:12" x14ac:dyDescent="0.25">
      <c r="A14" s="24" t="s">
        <v>133</v>
      </c>
      <c r="C14" s="24" t="s">
        <v>110</v>
      </c>
    </row>
    <row r="15" spans="1:12" x14ac:dyDescent="0.25">
      <c r="A15" s="19" t="s">
        <v>108</v>
      </c>
      <c r="C15" s="19" t="s">
        <v>111</v>
      </c>
    </row>
    <row r="16" spans="1:12" x14ac:dyDescent="0.25">
      <c r="A16" s="24" t="s">
        <v>134</v>
      </c>
      <c r="C16" s="24" t="s">
        <v>112</v>
      </c>
    </row>
    <row r="17" spans="1:3" x14ac:dyDescent="0.25">
      <c r="C17" s="19" t="s">
        <v>113</v>
      </c>
    </row>
    <row r="18" spans="1:3" x14ac:dyDescent="0.25">
      <c r="C18" s="24" t="s">
        <v>114</v>
      </c>
    </row>
    <row r="19" spans="1:3" x14ac:dyDescent="0.25">
      <c r="C19" s="19" t="s">
        <v>115</v>
      </c>
    </row>
    <row r="20" spans="1:3" x14ac:dyDescent="0.25">
      <c r="A20" s="5" t="s">
        <v>169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Dashboard</vt:lpstr>
      <vt:lpstr>Weekly Planner</vt:lpstr>
      <vt:lpstr>Daily Study Log</vt:lpstr>
      <vt:lpstr>Habit Tracker</vt:lpstr>
      <vt:lpstr>Progress Analytics</vt:lpstr>
      <vt:lpstr>Settings</vt:lpstr>
      <vt:lpstr>DailyGoalHrs</vt:lpstr>
      <vt:lpstr>DayList</vt:lpstr>
      <vt:lpstr>HabitGoalPct</vt:lpstr>
      <vt:lpstr>HabitList</vt:lpstr>
      <vt:lpstr>PriorityList</vt:lpstr>
      <vt:lpstr>StatusList</vt:lpstr>
      <vt:lpstr>SubjectList</vt:lpstr>
      <vt:lpstr>WeeklyGoalHrs</vt:lpstr>
      <vt:lpstr>WeeklyGoalTasks</vt:lpstr>
      <vt:lpstr>WeekStart</vt:lpstr>
      <vt:lpstr>YesNoList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Study Planner + Habit Tracker + Dashboard</dc:title>
  <dc:subject/>
  <dc:creator>Claude</dc:creator>
  <dc:description/>
  <cp:lastModifiedBy>Daksh Verma</cp:lastModifiedBy>
  <cp:revision>1</cp:revision>
  <dcterms:created xsi:type="dcterms:W3CDTF">2026-08-01T23:16:01Z</dcterms:created>
  <dcterms:modified xsi:type="dcterms:W3CDTF">2026-08-02T09:31:01Z</dcterms:modified>
  <dc:language>en-US</dc:language>
</cp:coreProperties>
</file>